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omas Fischer\Documents\Gambling\"/>
    </mc:Choice>
  </mc:AlternateContent>
  <xr:revisionPtr revIDLastSave="0" documentId="8_{281F9C10-27D9-48BA-A49F-F5A4BE4DB8F6}" xr6:coauthVersionLast="47" xr6:coauthVersionMax="47" xr10:uidLastSave="{00000000-0000-0000-0000-000000000000}"/>
  <bookViews>
    <workbookView xWindow="810" yWindow="-120" windowWidth="28110" windowHeight="16440" xr2:uid="{00000000-000D-0000-FFFF-FFFF00000000}"/>
  </bookViews>
  <sheets>
    <sheet name="Standings" sheetId="1" r:id="rId1"/>
    <sheet name="Next X weeks" sheetId="37" r:id="rId2"/>
    <sheet name="Draft" sheetId="36" r:id="rId3"/>
    <sheet name="2020Payments" sheetId="35" r:id="rId4"/>
    <sheet name="Projections" sheetId="34" state="hidden" r:id="rId5"/>
    <sheet name="FoxSports Standings" sheetId="2" r:id="rId6"/>
    <sheet name="Sheet3" sheetId="4" r:id="rId7"/>
    <sheet name="538Data" sheetId="33" r:id="rId8"/>
  </sheets>
  <definedNames>
    <definedName name="_xlnm._FilterDatabase" localSheetId="2" hidden="1">Draft!$A$1:$P$31</definedName>
    <definedName name="_xlnm._FilterDatabase" localSheetId="1" hidden="1">'Next X weeks'!$B$4:$D$14</definedName>
    <definedName name="_xlnm._FilterDatabase" localSheetId="0" hidden="1">Standings!#REF!</definedName>
    <definedName name="_xlnm.Print_Area" localSheetId="0">Standings!$A$1:$O$24</definedName>
    <definedName name="standings?year_season_2012_type_regular" localSheetId="5">'FoxSports Standings'!$A$1:$M$502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7" l="1"/>
  <c r="H3" i="37"/>
  <c r="I3" i="37"/>
  <c r="J3" i="37"/>
  <c r="K3" i="37"/>
  <c r="L3" i="37"/>
  <c r="M3" i="37"/>
  <c r="N3" i="37"/>
  <c r="O3" i="37"/>
  <c r="P3" i="37"/>
  <c r="Q3" i="37"/>
  <c r="R3" i="37"/>
  <c r="S3" i="37"/>
  <c r="T3" i="37"/>
  <c r="U3" i="37"/>
  <c r="V3" i="37"/>
  <c r="W3" i="37"/>
  <c r="X3" i="37"/>
  <c r="Y3" i="37"/>
  <c r="Z3" i="37"/>
  <c r="AA3" i="37"/>
  <c r="AB3" i="37"/>
  <c r="AC3" i="37"/>
  <c r="AD3" i="37"/>
  <c r="AE3" i="37"/>
  <c r="AF3" i="37"/>
  <c r="AG3" i="37"/>
  <c r="AH3" i="37"/>
  <c r="AI3" i="37"/>
  <c r="AJ3" i="37"/>
  <c r="AK3" i="37"/>
  <c r="AL3" i="37"/>
  <c r="AM3" i="37"/>
  <c r="AN3" i="37"/>
  <c r="AO3" i="37"/>
  <c r="AP3" i="37"/>
  <c r="AQ3" i="37"/>
  <c r="AR3" i="37"/>
  <c r="AS3" i="37"/>
  <c r="AT3" i="37"/>
  <c r="AU3" i="37"/>
  <c r="AV3" i="37"/>
  <c r="AW3" i="37"/>
  <c r="AX3" i="37"/>
  <c r="AY3" i="37"/>
  <c r="AZ3" i="37"/>
  <c r="BA3" i="37"/>
  <c r="BB3" i="37"/>
  <c r="BC3" i="37"/>
  <c r="BD3" i="37"/>
  <c r="BE3" i="37"/>
  <c r="F3" i="37"/>
  <c r="C1" i="37"/>
  <c r="E3" i="37"/>
  <c r="E14" i="37" l="1"/>
  <c r="E6" i="37"/>
  <c r="E7" i="37"/>
  <c r="E8" i="37"/>
  <c r="E9" i="37"/>
  <c r="E10" i="37"/>
  <c r="E11" i="37"/>
  <c r="E12" i="37"/>
  <c r="E13" i="37"/>
  <c r="E5" i="37"/>
  <c r="A3" i="36" l="1"/>
  <c r="A4" i="36"/>
  <c r="A5" i="36"/>
  <c r="A6" i="36"/>
  <c r="A7" i="36"/>
  <c r="A8" i="36"/>
  <c r="A9" i="36"/>
  <c r="A10" i="36"/>
  <c r="A11" i="36"/>
  <c r="A12" i="36"/>
  <c r="A13" i="36"/>
  <c r="A14" i="36"/>
  <c r="A15" i="36"/>
  <c r="A16" i="36"/>
  <c r="A17" i="36"/>
  <c r="A18" i="36"/>
  <c r="A19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2" i="36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2" i="36"/>
  <c r="J31" i="36" l="1"/>
  <c r="M31" i="36"/>
  <c r="I26" i="36"/>
  <c r="H26" i="36"/>
  <c r="I10" i="36"/>
  <c r="H10" i="36"/>
  <c r="I17" i="36"/>
  <c r="H17" i="36"/>
  <c r="I9" i="36"/>
  <c r="H9" i="36"/>
  <c r="I2" i="36"/>
  <c r="H2" i="36"/>
  <c r="I24" i="36"/>
  <c r="H24" i="36"/>
  <c r="I16" i="36"/>
  <c r="H16" i="36"/>
  <c r="H8" i="36"/>
  <c r="I8" i="36"/>
  <c r="I25" i="36"/>
  <c r="H25" i="36"/>
  <c r="I31" i="36"/>
  <c r="H31" i="36"/>
  <c r="I23" i="36"/>
  <c r="H23" i="36"/>
  <c r="I15" i="36"/>
  <c r="H15" i="36"/>
  <c r="I7" i="36"/>
  <c r="H7" i="36"/>
  <c r="I30" i="36"/>
  <c r="H30" i="36"/>
  <c r="I22" i="36"/>
  <c r="H22" i="36"/>
  <c r="H14" i="36"/>
  <c r="I14" i="36"/>
  <c r="I6" i="36"/>
  <c r="H6" i="36"/>
  <c r="I29" i="36"/>
  <c r="H29" i="36"/>
  <c r="I21" i="36"/>
  <c r="H21" i="36"/>
  <c r="I13" i="36"/>
  <c r="H13" i="36"/>
  <c r="I5" i="36"/>
  <c r="H5" i="36"/>
  <c r="I18" i="36"/>
  <c r="H18" i="36"/>
  <c r="I28" i="36"/>
  <c r="H28" i="36"/>
  <c r="I20" i="36"/>
  <c r="H20" i="36"/>
  <c r="H12" i="36"/>
  <c r="I12" i="36"/>
  <c r="H4" i="36"/>
  <c r="I4" i="36"/>
  <c r="I27" i="36"/>
  <c r="H27" i="36"/>
  <c r="I19" i="36"/>
  <c r="H19" i="36"/>
  <c r="I11" i="36"/>
  <c r="H11" i="36"/>
  <c r="I3" i="36"/>
  <c r="H3" i="36"/>
  <c r="J20" i="36"/>
  <c r="M20" i="36"/>
  <c r="M12" i="36"/>
  <c r="J4" i="36"/>
  <c r="M4" i="36"/>
  <c r="J27" i="36"/>
  <c r="M27" i="36"/>
  <c r="J19" i="36"/>
  <c r="M19" i="36"/>
  <c r="J11" i="36"/>
  <c r="M11" i="36"/>
  <c r="J3" i="36"/>
  <c r="M3" i="36"/>
  <c r="J26" i="36"/>
  <c r="M26" i="36"/>
  <c r="J18" i="36"/>
  <c r="M18" i="36"/>
  <c r="J10" i="36"/>
  <c r="M10" i="36"/>
  <c r="J28" i="36"/>
  <c r="M28" i="36"/>
  <c r="J25" i="36"/>
  <c r="M25" i="36"/>
  <c r="J17" i="36"/>
  <c r="M17" i="36"/>
  <c r="J9" i="36"/>
  <c r="M9" i="36"/>
  <c r="J24" i="36"/>
  <c r="M24" i="36"/>
  <c r="J16" i="36"/>
  <c r="M16" i="36"/>
  <c r="J8" i="36"/>
  <c r="M8" i="36"/>
  <c r="J23" i="36"/>
  <c r="M23" i="36"/>
  <c r="J15" i="36"/>
  <c r="M15" i="36"/>
  <c r="J7" i="36"/>
  <c r="M7" i="36"/>
  <c r="J30" i="36"/>
  <c r="M30" i="36"/>
  <c r="M22" i="36"/>
  <c r="J14" i="36"/>
  <c r="M14" i="36"/>
  <c r="J6" i="36"/>
  <c r="M6" i="36"/>
  <c r="J29" i="36"/>
  <c r="M29" i="36"/>
  <c r="J21" i="36"/>
  <c r="M21" i="36"/>
  <c r="J13" i="36"/>
  <c r="M13" i="36"/>
  <c r="J5" i="36"/>
  <c r="M5" i="36"/>
  <c r="J12" i="36"/>
  <c r="J2" i="36"/>
  <c r="J22" i="36"/>
  <c r="E13" i="1"/>
  <c r="F13" i="1" s="1"/>
  <c r="C13" i="1"/>
  <c r="D13" i="1" s="1"/>
  <c r="N31" i="36" l="1"/>
  <c r="K8" i="36"/>
  <c r="L26" i="36"/>
  <c r="L2" i="36"/>
  <c r="K3" i="36"/>
  <c r="L31" i="36"/>
  <c r="K30" i="36"/>
  <c r="L16" i="36"/>
  <c r="K10" i="36"/>
  <c r="L9" i="36"/>
  <c r="L29" i="36"/>
  <c r="L4" i="36"/>
  <c r="K18" i="36"/>
  <c r="L3" i="36"/>
  <c r="K19" i="36"/>
  <c r="K13" i="36"/>
  <c r="K29" i="36"/>
  <c r="K15" i="36"/>
  <c r="K31" i="36"/>
  <c r="K9" i="36"/>
  <c r="K4" i="36"/>
  <c r="L20" i="36"/>
  <c r="L18" i="36"/>
  <c r="K14" i="36"/>
  <c r="L30" i="36"/>
  <c r="L8" i="36"/>
  <c r="L24" i="36"/>
  <c r="L10" i="36"/>
  <c r="L14" i="36"/>
  <c r="K24" i="36"/>
  <c r="K11" i="36"/>
  <c r="K27" i="36"/>
  <c r="K5" i="36"/>
  <c r="K21" i="36"/>
  <c r="K7" i="36"/>
  <c r="K23" i="36"/>
  <c r="K25" i="36"/>
  <c r="L17" i="36"/>
  <c r="L19" i="36"/>
  <c r="L11" i="36"/>
  <c r="L27" i="36"/>
  <c r="L12" i="36"/>
  <c r="L5" i="36"/>
  <c r="L7" i="36"/>
  <c r="L23" i="36"/>
  <c r="L25" i="36"/>
  <c r="K17" i="36"/>
  <c r="L15" i="36"/>
  <c r="K20" i="36"/>
  <c r="K28" i="36"/>
  <c r="L21" i="36"/>
  <c r="L6" i="36"/>
  <c r="K22" i="36"/>
  <c r="K16" i="36"/>
  <c r="K2" i="36"/>
  <c r="K26" i="36"/>
  <c r="L13" i="36"/>
  <c r="K12" i="36"/>
  <c r="L28" i="36"/>
  <c r="K6" i="36"/>
  <c r="L22" i="36"/>
  <c r="N13" i="36"/>
  <c r="N14" i="36"/>
  <c r="N9" i="36"/>
  <c r="N11" i="36"/>
  <c r="N30" i="36"/>
  <c r="N8" i="36"/>
  <c r="N17" i="36"/>
  <c r="N18" i="36"/>
  <c r="N19" i="36"/>
  <c r="N12" i="36"/>
  <c r="N16" i="36"/>
  <c r="N25" i="36"/>
  <c r="N26" i="36"/>
  <c r="N27" i="36"/>
  <c r="N29" i="36"/>
  <c r="N7" i="36"/>
  <c r="N22" i="36"/>
  <c r="N5" i="36"/>
  <c r="N6" i="36"/>
  <c r="N15" i="36"/>
  <c r="N24" i="36"/>
  <c r="N28" i="36"/>
  <c r="N3" i="36"/>
  <c r="N4" i="36"/>
  <c r="N23" i="36"/>
  <c r="N10" i="36"/>
  <c r="N21" i="36"/>
  <c r="N20" i="36"/>
  <c r="D2" i="34"/>
  <c r="E2" i="34"/>
  <c r="F2" i="34"/>
  <c r="G2" i="34"/>
  <c r="H2" i="34"/>
  <c r="I2" i="34"/>
  <c r="J2" i="34"/>
  <c r="K2" i="34"/>
  <c r="L2" i="34"/>
  <c r="M2" i="34"/>
  <c r="N2" i="34"/>
  <c r="O2" i="34"/>
  <c r="P2" i="34"/>
  <c r="Q2" i="34"/>
  <c r="R2" i="34"/>
  <c r="D3" i="34"/>
  <c r="E3" i="34"/>
  <c r="F3" i="34"/>
  <c r="G3" i="34"/>
  <c r="H3" i="34"/>
  <c r="I3" i="34"/>
  <c r="J3" i="34"/>
  <c r="K3" i="34"/>
  <c r="L3" i="34"/>
  <c r="M3" i="34"/>
  <c r="N3" i="34"/>
  <c r="O3" i="34"/>
  <c r="P3" i="34"/>
  <c r="Q3" i="34"/>
  <c r="R3" i="34"/>
  <c r="D4" i="34"/>
  <c r="E4" i="34"/>
  <c r="F4" i="34"/>
  <c r="G4" i="34"/>
  <c r="H4" i="34"/>
  <c r="I4" i="34"/>
  <c r="J4" i="34"/>
  <c r="K4" i="34"/>
  <c r="L4" i="34"/>
  <c r="M4" i="34"/>
  <c r="N4" i="34"/>
  <c r="O4" i="34"/>
  <c r="P4" i="34"/>
  <c r="Q4" i="34"/>
  <c r="R4" i="34"/>
  <c r="D5" i="34"/>
  <c r="E5" i="34"/>
  <c r="F5" i="34"/>
  <c r="G5" i="34"/>
  <c r="H5" i="34"/>
  <c r="I5" i="34"/>
  <c r="J5" i="34"/>
  <c r="K5" i="34"/>
  <c r="L5" i="34"/>
  <c r="M5" i="34"/>
  <c r="N5" i="34"/>
  <c r="O5" i="34"/>
  <c r="P5" i="34"/>
  <c r="Q5" i="34"/>
  <c r="R5" i="34"/>
  <c r="D6" i="34"/>
  <c r="E6" i="34"/>
  <c r="F6" i="34"/>
  <c r="G6" i="34"/>
  <c r="H6" i="34"/>
  <c r="I6" i="34"/>
  <c r="J6" i="34"/>
  <c r="K6" i="34"/>
  <c r="L6" i="34"/>
  <c r="M6" i="34"/>
  <c r="N6" i="34"/>
  <c r="O6" i="34"/>
  <c r="P6" i="34"/>
  <c r="Q6" i="34"/>
  <c r="R6" i="34"/>
  <c r="D7" i="34"/>
  <c r="E7" i="34"/>
  <c r="F7" i="34"/>
  <c r="G7" i="34"/>
  <c r="H7" i="34"/>
  <c r="I7" i="34"/>
  <c r="J7" i="34"/>
  <c r="K7" i="34"/>
  <c r="L7" i="34"/>
  <c r="M7" i="34"/>
  <c r="N7" i="34"/>
  <c r="O7" i="34"/>
  <c r="P7" i="34"/>
  <c r="Q7" i="34"/>
  <c r="R7" i="34"/>
  <c r="D8" i="34"/>
  <c r="E8" i="34"/>
  <c r="F8" i="34"/>
  <c r="G8" i="34"/>
  <c r="H8" i="34"/>
  <c r="I8" i="34"/>
  <c r="J8" i="34"/>
  <c r="K8" i="34"/>
  <c r="L8" i="34"/>
  <c r="M8" i="34"/>
  <c r="N8" i="34"/>
  <c r="O8" i="34"/>
  <c r="P8" i="34"/>
  <c r="Q8" i="34"/>
  <c r="R8" i="34"/>
  <c r="D9" i="34"/>
  <c r="E9" i="34"/>
  <c r="F9" i="34"/>
  <c r="G9" i="34"/>
  <c r="H9" i="34"/>
  <c r="I9" i="34"/>
  <c r="J9" i="34"/>
  <c r="K9" i="34"/>
  <c r="L9" i="34"/>
  <c r="M9" i="34"/>
  <c r="N9" i="34"/>
  <c r="O9" i="34"/>
  <c r="P9" i="34"/>
  <c r="Q9" i="34"/>
  <c r="R9" i="34"/>
  <c r="D10" i="34"/>
  <c r="E10" i="34"/>
  <c r="F10" i="34"/>
  <c r="G10" i="34"/>
  <c r="H10" i="34"/>
  <c r="I10" i="34"/>
  <c r="J10" i="34"/>
  <c r="K10" i="34"/>
  <c r="L10" i="34"/>
  <c r="M10" i="34"/>
  <c r="N10" i="34"/>
  <c r="O10" i="34"/>
  <c r="P10" i="34"/>
  <c r="Q10" i="34"/>
  <c r="R10" i="34"/>
  <c r="D11" i="34"/>
  <c r="E11" i="34"/>
  <c r="F11" i="34"/>
  <c r="G11" i="34"/>
  <c r="H11" i="34"/>
  <c r="I11" i="34"/>
  <c r="J11" i="34"/>
  <c r="K11" i="34"/>
  <c r="L11" i="34"/>
  <c r="M11" i="34"/>
  <c r="N11" i="34"/>
  <c r="O11" i="34"/>
  <c r="P11" i="34"/>
  <c r="Q11" i="34"/>
  <c r="R11" i="34"/>
  <c r="C3" i="34"/>
  <c r="C4" i="34"/>
  <c r="C5" i="34"/>
  <c r="C6" i="34"/>
  <c r="C7" i="34"/>
  <c r="C8" i="34"/>
  <c r="C9" i="34"/>
  <c r="C10" i="34"/>
  <c r="C11" i="34"/>
  <c r="C2" i="34"/>
  <c r="P26" i="36" l="1"/>
  <c r="P29" i="36"/>
  <c r="P12" i="36"/>
  <c r="P15" i="36"/>
  <c r="P8" i="36"/>
  <c r="P13" i="36"/>
  <c r="P16" i="36"/>
  <c r="P2" i="36"/>
  <c r="P11" i="36"/>
  <c r="P4" i="36"/>
  <c r="P28" i="36"/>
  <c r="P5" i="36"/>
  <c r="P21" i="36"/>
  <c r="P24" i="36"/>
  <c r="P10" i="36"/>
  <c r="P9" i="36"/>
  <c r="P17" i="36"/>
  <c r="P6" i="36"/>
  <c r="P27" i="36"/>
  <c r="P19" i="36"/>
  <c r="P20" i="36"/>
  <c r="P31" i="36"/>
  <c r="P14" i="36"/>
  <c r="P23" i="36"/>
  <c r="P3" i="36"/>
  <c r="P22" i="36"/>
  <c r="P7" i="36"/>
  <c r="P18" i="36"/>
  <c r="P25" i="36"/>
  <c r="P30" i="36"/>
  <c r="G3" i="1"/>
  <c r="H3" i="1" s="1"/>
  <c r="E3" i="1"/>
  <c r="F3" i="1" s="1"/>
  <c r="C3" i="1"/>
  <c r="G8" i="1"/>
  <c r="H8" i="1" s="1"/>
  <c r="E8" i="1"/>
  <c r="F8" i="1" s="1"/>
  <c r="C8" i="1"/>
  <c r="G2" i="1"/>
  <c r="H2" i="1" s="1"/>
  <c r="E2" i="1"/>
  <c r="F2" i="1" s="1"/>
  <c r="C2" i="1"/>
  <c r="G6" i="1"/>
  <c r="H6" i="1" s="1"/>
  <c r="E6" i="1"/>
  <c r="F6" i="1" s="1"/>
  <c r="C6" i="1"/>
  <c r="G4" i="1"/>
  <c r="H4" i="1" s="1"/>
  <c r="E4" i="1"/>
  <c r="F4" i="1" s="1"/>
  <c r="C4" i="1"/>
  <c r="G11" i="1"/>
  <c r="H11" i="1" s="1"/>
  <c r="E11" i="1"/>
  <c r="F11" i="1" s="1"/>
  <c r="C11" i="1"/>
  <c r="G7" i="1"/>
  <c r="H7" i="1" s="1"/>
  <c r="E7" i="1"/>
  <c r="F7" i="1" s="1"/>
  <c r="C7" i="1"/>
  <c r="G10" i="1"/>
  <c r="H10" i="1" s="1"/>
  <c r="E10" i="1"/>
  <c r="F10" i="1" s="1"/>
  <c r="C10" i="1"/>
  <c r="G5" i="1"/>
  <c r="H5" i="1" s="1"/>
  <c r="E5" i="1"/>
  <c r="F5" i="1" s="1"/>
  <c r="C5" i="1"/>
  <c r="G9" i="1"/>
  <c r="H9" i="1" s="1"/>
  <c r="E9" i="1"/>
  <c r="F9" i="1" s="1"/>
  <c r="C9" i="1"/>
  <c r="D5" i="1" l="1"/>
  <c r="D3" i="1"/>
  <c r="D2" i="1"/>
  <c r="D10" i="1"/>
  <c r="D4" i="1"/>
  <c r="D11" i="1"/>
  <c r="D9" i="1"/>
  <c r="D8" i="1"/>
  <c r="D7" i="1"/>
  <c r="D6" i="1"/>
  <c r="J8" i="1" l="1"/>
  <c r="J4" i="1"/>
  <c r="K3" i="1"/>
  <c r="J10" i="1"/>
  <c r="L2" i="1"/>
  <c r="L7" i="1"/>
  <c r="L4" i="1"/>
  <c r="J2" i="1"/>
  <c r="I9" i="1"/>
  <c r="N9" i="1" s="1"/>
  <c r="L5" i="1"/>
  <c r="I7" i="1"/>
  <c r="N7" i="1" s="1"/>
  <c r="I5" i="1"/>
  <c r="M5" i="1" s="1"/>
  <c r="I3" i="1"/>
  <c r="N3" i="1" s="1"/>
  <c r="K4" i="1"/>
  <c r="J6" i="1"/>
  <c r="L6" i="1"/>
  <c r="L3" i="1"/>
  <c r="K11" i="1"/>
  <c r="K8" i="1"/>
  <c r="K5" i="1"/>
  <c r="J3" i="1"/>
  <c r="I11" i="1"/>
  <c r="M11" i="1" s="1"/>
  <c r="J7" i="1"/>
  <c r="K7" i="1"/>
  <c r="L11" i="1"/>
  <c r="K6" i="1"/>
  <c r="L9" i="1"/>
  <c r="J9" i="1"/>
  <c r="I2" i="1"/>
  <c r="N2" i="1" s="1"/>
  <c r="K9" i="1"/>
  <c r="K2" i="1"/>
  <c r="J11" i="1"/>
  <c r="L8" i="1"/>
  <c r="I8" i="1"/>
  <c r="O8" i="1" s="1"/>
  <c r="J5" i="1"/>
  <c r="I6" i="1"/>
  <c r="M6" i="1" s="1"/>
  <c r="I4" i="1"/>
  <c r="O4" i="1" s="1"/>
  <c r="L10" i="1"/>
  <c r="K10" i="1"/>
  <c r="I10" i="1"/>
  <c r="O10" i="1" s="1"/>
  <c r="N8" i="1" l="1"/>
  <c r="N6" i="1"/>
  <c r="O2" i="1"/>
  <c r="M3" i="1"/>
  <c r="N5" i="1"/>
  <c r="O11" i="1"/>
  <c r="O3" i="1"/>
  <c r="N11" i="1"/>
  <c r="O6" i="1"/>
  <c r="M7" i="1"/>
  <c r="N4" i="1"/>
  <c r="M10" i="1"/>
  <c r="O5" i="1"/>
  <c r="O7" i="1"/>
  <c r="M8" i="1"/>
  <c r="N10" i="1"/>
  <c r="O9" i="1"/>
  <c r="M4" i="1"/>
  <c r="M9" i="1"/>
  <c r="M2" i="1"/>
  <c r="A5" i="37"/>
  <c r="A12" i="37"/>
  <c r="A10" i="37"/>
  <c r="A8" i="37"/>
  <c r="A7" i="37"/>
  <c r="A11" i="37"/>
  <c r="A13" i="37"/>
  <c r="A6" i="37"/>
  <c r="A14" i="37"/>
  <c r="A9" i="37"/>
  <c r="A11" i="1"/>
  <c r="A6" i="1"/>
  <c r="A3" i="1"/>
  <c r="A8" i="1"/>
  <c r="A4" i="1"/>
  <c r="A5" i="1"/>
  <c r="A10" i="1"/>
  <c r="A2" i="1"/>
  <c r="A7" i="1"/>
  <c r="A9" i="1"/>
  <c r="F7" i="37" l="1"/>
  <c r="N7" i="37"/>
  <c r="V7" i="37"/>
  <c r="AD7" i="37"/>
  <c r="AL7" i="37"/>
  <c r="AT7" i="37"/>
  <c r="BB7" i="37"/>
  <c r="G7" i="37"/>
  <c r="O7" i="37"/>
  <c r="W7" i="37"/>
  <c r="AE7" i="37"/>
  <c r="AM7" i="37"/>
  <c r="AU7" i="37"/>
  <c r="BC7" i="37"/>
  <c r="H7" i="37"/>
  <c r="P7" i="37"/>
  <c r="X7" i="37"/>
  <c r="AF7" i="37"/>
  <c r="AN7" i="37"/>
  <c r="AV7" i="37"/>
  <c r="BD7" i="37"/>
  <c r="T7" i="37"/>
  <c r="I7" i="37"/>
  <c r="Q7" i="37"/>
  <c r="Y7" i="37"/>
  <c r="AG7" i="37"/>
  <c r="AO7" i="37"/>
  <c r="AW7" i="37"/>
  <c r="BE7" i="37"/>
  <c r="L7" i="37"/>
  <c r="AR7" i="37"/>
  <c r="J7" i="37"/>
  <c r="R7" i="37"/>
  <c r="Z7" i="37"/>
  <c r="AH7" i="37"/>
  <c r="AP7" i="37"/>
  <c r="AX7" i="37"/>
  <c r="AJ7" i="37"/>
  <c r="K7" i="37"/>
  <c r="S7" i="37"/>
  <c r="AA7" i="37"/>
  <c r="AI7" i="37"/>
  <c r="AQ7" i="37"/>
  <c r="AY7" i="37"/>
  <c r="AB7" i="37"/>
  <c r="AZ7" i="37"/>
  <c r="M7" i="37"/>
  <c r="U7" i="37"/>
  <c r="AC7" i="37"/>
  <c r="AK7" i="37"/>
  <c r="AS7" i="37"/>
  <c r="BA7" i="37"/>
  <c r="J8" i="37"/>
  <c r="R8" i="37"/>
  <c r="AH8" i="37"/>
  <c r="AP8" i="37"/>
  <c r="AX8" i="37"/>
  <c r="K8" i="37"/>
  <c r="S8" i="37"/>
  <c r="AA8" i="37"/>
  <c r="AI8" i="37"/>
  <c r="AQ8" i="37"/>
  <c r="AY8" i="37"/>
  <c r="L8" i="37"/>
  <c r="T8" i="37"/>
  <c r="AB8" i="37"/>
  <c r="AJ8" i="37"/>
  <c r="AR8" i="37"/>
  <c r="AZ8" i="37"/>
  <c r="H8" i="37"/>
  <c r="AF8" i="37"/>
  <c r="BD8" i="37"/>
  <c r="M8" i="37"/>
  <c r="U8" i="37"/>
  <c r="AC8" i="37"/>
  <c r="AK8" i="37"/>
  <c r="AS8" i="37"/>
  <c r="BA8" i="37"/>
  <c r="X8" i="37"/>
  <c r="F8" i="37"/>
  <c r="N8" i="37"/>
  <c r="V8" i="37"/>
  <c r="AD8" i="37"/>
  <c r="AL8" i="37"/>
  <c r="AT8" i="37"/>
  <c r="BB8" i="37"/>
  <c r="P8" i="37"/>
  <c r="AV8" i="37"/>
  <c r="G8" i="37"/>
  <c r="O8" i="37"/>
  <c r="W8" i="37"/>
  <c r="AE8" i="37"/>
  <c r="AM8" i="37"/>
  <c r="AU8" i="37"/>
  <c r="BC8" i="37"/>
  <c r="AN8" i="37"/>
  <c r="I8" i="37"/>
  <c r="Q8" i="37"/>
  <c r="Y8" i="37"/>
  <c r="AG8" i="37"/>
  <c r="AO8" i="37"/>
  <c r="AW8" i="37"/>
  <c r="BE8" i="37"/>
  <c r="Z8" i="37"/>
  <c r="J6" i="37"/>
  <c r="R6" i="37"/>
  <c r="Z6" i="37"/>
  <c r="AH6" i="37"/>
  <c r="AP6" i="37"/>
  <c r="AX6" i="37"/>
  <c r="K6" i="37"/>
  <c r="S6" i="37"/>
  <c r="AA6" i="37"/>
  <c r="AI6" i="37"/>
  <c r="AQ6" i="37"/>
  <c r="AY6" i="37"/>
  <c r="L6" i="37"/>
  <c r="T6" i="37"/>
  <c r="AB6" i="37"/>
  <c r="AJ6" i="37"/>
  <c r="AR6" i="37"/>
  <c r="AZ6" i="37"/>
  <c r="P6" i="37"/>
  <c r="M6" i="37"/>
  <c r="U6" i="37"/>
  <c r="AC6" i="37"/>
  <c r="AK6" i="37"/>
  <c r="AS6" i="37"/>
  <c r="BA6" i="37"/>
  <c r="AF6" i="37"/>
  <c r="F6" i="37"/>
  <c r="N6" i="37"/>
  <c r="V6" i="37"/>
  <c r="AD6" i="37"/>
  <c r="AL6" i="37"/>
  <c r="AT6" i="37"/>
  <c r="BB6" i="37"/>
  <c r="H6" i="37"/>
  <c r="AN6" i="37"/>
  <c r="BD6" i="37"/>
  <c r="G6" i="37"/>
  <c r="O6" i="37"/>
  <c r="W6" i="37"/>
  <c r="AE6" i="37"/>
  <c r="AM6" i="37"/>
  <c r="AU6" i="37"/>
  <c r="BC6" i="37"/>
  <c r="X6" i="37"/>
  <c r="AV6" i="37"/>
  <c r="I6" i="37"/>
  <c r="Q6" i="37"/>
  <c r="Y6" i="37"/>
  <c r="AG6" i="37"/>
  <c r="AO6" i="37"/>
  <c r="AW6" i="37"/>
  <c r="BE6" i="37"/>
  <c r="N13" i="37"/>
  <c r="V13" i="37"/>
  <c r="AD13" i="37"/>
  <c r="AL13" i="37"/>
  <c r="AT13" i="37"/>
  <c r="BB13" i="37"/>
  <c r="O13" i="37"/>
  <c r="W13" i="37"/>
  <c r="AE13" i="37"/>
  <c r="AM13" i="37"/>
  <c r="AU13" i="37"/>
  <c r="BC13" i="37"/>
  <c r="P13" i="37"/>
  <c r="X13" i="37"/>
  <c r="AF13" i="37"/>
  <c r="AN13" i="37"/>
  <c r="AV13" i="37"/>
  <c r="BD13" i="37"/>
  <c r="Q13" i="37"/>
  <c r="Y13" i="37"/>
  <c r="AG13" i="37"/>
  <c r="AO13" i="37"/>
  <c r="AW13" i="37"/>
  <c r="BE13" i="37"/>
  <c r="AB13" i="37"/>
  <c r="AR13" i="37"/>
  <c r="H13" i="37"/>
  <c r="J13" i="37"/>
  <c r="R13" i="37"/>
  <c r="Z13" i="37"/>
  <c r="AH13" i="37"/>
  <c r="AP13" i="37"/>
  <c r="AX13" i="37"/>
  <c r="F13" i="37"/>
  <c r="L13" i="37"/>
  <c r="T13" i="37"/>
  <c r="AJ13" i="37"/>
  <c r="AZ13" i="37"/>
  <c r="K13" i="37"/>
  <c r="S13" i="37"/>
  <c r="AA13" i="37"/>
  <c r="AI13" i="37"/>
  <c r="AQ13" i="37"/>
  <c r="AY13" i="37"/>
  <c r="G13" i="37"/>
  <c r="M13" i="37"/>
  <c r="U13" i="37"/>
  <c r="AC13" i="37"/>
  <c r="AK13" i="37"/>
  <c r="AS13" i="37"/>
  <c r="BA13" i="37"/>
  <c r="I13" i="37"/>
  <c r="J10" i="37"/>
  <c r="R10" i="37"/>
  <c r="Z10" i="37"/>
  <c r="AP10" i="37"/>
  <c r="AX10" i="37"/>
  <c r="K10" i="37"/>
  <c r="S10" i="37"/>
  <c r="AA10" i="37"/>
  <c r="AI10" i="37"/>
  <c r="AQ10" i="37"/>
  <c r="AY10" i="37"/>
  <c r="L10" i="37"/>
  <c r="T10" i="37"/>
  <c r="AB10" i="37"/>
  <c r="AJ10" i="37"/>
  <c r="AR10" i="37"/>
  <c r="AZ10" i="37"/>
  <c r="P10" i="37"/>
  <c r="BD10" i="37"/>
  <c r="M10" i="37"/>
  <c r="U10" i="37"/>
  <c r="AC10" i="37"/>
  <c r="AK10" i="37"/>
  <c r="AS10" i="37"/>
  <c r="BA10" i="37"/>
  <c r="X10" i="37"/>
  <c r="AV10" i="37"/>
  <c r="F10" i="37"/>
  <c r="N10" i="37"/>
  <c r="V10" i="37"/>
  <c r="AD10" i="37"/>
  <c r="AL10" i="37"/>
  <c r="AT10" i="37"/>
  <c r="BB10" i="37"/>
  <c r="AF10" i="37"/>
  <c r="G10" i="37"/>
  <c r="O10" i="37"/>
  <c r="W10" i="37"/>
  <c r="AE10" i="37"/>
  <c r="AM10" i="37"/>
  <c r="AU10" i="37"/>
  <c r="BC10" i="37"/>
  <c r="H10" i="37"/>
  <c r="AN10" i="37"/>
  <c r="I10" i="37"/>
  <c r="Q10" i="37"/>
  <c r="Y10" i="37"/>
  <c r="AG10" i="37"/>
  <c r="AO10" i="37"/>
  <c r="AW10" i="37"/>
  <c r="BE10" i="37"/>
  <c r="AH10" i="37"/>
  <c r="F9" i="37"/>
  <c r="N9" i="37"/>
  <c r="V9" i="37"/>
  <c r="AD9" i="37"/>
  <c r="AL9" i="37"/>
  <c r="AT9" i="37"/>
  <c r="G9" i="37"/>
  <c r="O9" i="37"/>
  <c r="W9" i="37"/>
  <c r="AE9" i="37"/>
  <c r="AM9" i="37"/>
  <c r="AU9" i="37"/>
  <c r="BC9" i="37"/>
  <c r="H9" i="37"/>
  <c r="P9" i="37"/>
  <c r="X9" i="37"/>
  <c r="AF9" i="37"/>
  <c r="AN9" i="37"/>
  <c r="AV9" i="37"/>
  <c r="BD9" i="37"/>
  <c r="AB9" i="37"/>
  <c r="I9" i="37"/>
  <c r="Q9" i="37"/>
  <c r="Y9" i="37"/>
  <c r="AG9" i="37"/>
  <c r="AO9" i="37"/>
  <c r="AW9" i="37"/>
  <c r="BE9" i="37"/>
  <c r="L9" i="37"/>
  <c r="AZ9" i="37"/>
  <c r="J9" i="37"/>
  <c r="R9" i="37"/>
  <c r="Z9" i="37"/>
  <c r="AH9" i="37"/>
  <c r="AP9" i="37"/>
  <c r="AX9" i="37"/>
  <c r="AJ9" i="37"/>
  <c r="K9" i="37"/>
  <c r="S9" i="37"/>
  <c r="AA9" i="37"/>
  <c r="AI9" i="37"/>
  <c r="AQ9" i="37"/>
  <c r="AY9" i="37"/>
  <c r="T9" i="37"/>
  <c r="AR9" i="37"/>
  <c r="M9" i="37"/>
  <c r="U9" i="37"/>
  <c r="AC9" i="37"/>
  <c r="AK9" i="37"/>
  <c r="AS9" i="37"/>
  <c r="BA9" i="37"/>
  <c r="BB9" i="37"/>
  <c r="J12" i="37"/>
  <c r="Z12" i="37"/>
  <c r="AX12" i="37"/>
  <c r="BD12" i="37"/>
  <c r="K12" i="37"/>
  <c r="S12" i="37"/>
  <c r="AA12" i="37"/>
  <c r="AI12" i="37"/>
  <c r="AQ12" i="37"/>
  <c r="AV12" i="37"/>
  <c r="L12" i="37"/>
  <c r="T12" i="37"/>
  <c r="AB12" i="37"/>
  <c r="AJ12" i="37"/>
  <c r="AR12" i="37"/>
  <c r="AZ12" i="37"/>
  <c r="H12" i="37"/>
  <c r="M12" i="37"/>
  <c r="U12" i="37"/>
  <c r="AC12" i="37"/>
  <c r="AK12" i="37"/>
  <c r="AS12" i="37"/>
  <c r="BA12" i="37"/>
  <c r="AF12" i="37"/>
  <c r="F12" i="37"/>
  <c r="N12" i="37"/>
  <c r="V12" i="37"/>
  <c r="AD12" i="37"/>
  <c r="AL12" i="37"/>
  <c r="AT12" i="37"/>
  <c r="BB12" i="37"/>
  <c r="X12" i="37"/>
  <c r="G12" i="37"/>
  <c r="O12" i="37"/>
  <c r="W12" i="37"/>
  <c r="AE12" i="37"/>
  <c r="AM12" i="37"/>
  <c r="AU12" i="37"/>
  <c r="BC12" i="37"/>
  <c r="P12" i="37"/>
  <c r="I12" i="37"/>
  <c r="Q12" i="37"/>
  <c r="Y12" i="37"/>
  <c r="AG12" i="37"/>
  <c r="AO12" i="37"/>
  <c r="AW12" i="37"/>
  <c r="BE12" i="37"/>
  <c r="R12" i="37"/>
  <c r="AH12" i="37"/>
  <c r="AP12" i="37"/>
  <c r="AY12" i="37"/>
  <c r="AN12" i="37"/>
  <c r="N14" i="37"/>
  <c r="V14" i="37"/>
  <c r="AD14" i="37"/>
  <c r="AL14" i="37"/>
  <c r="AT14" i="37"/>
  <c r="BB14" i="37"/>
  <c r="F14" i="37"/>
  <c r="O14" i="37"/>
  <c r="W14" i="37"/>
  <c r="AE14" i="37"/>
  <c r="AM14" i="37"/>
  <c r="AU14" i="37"/>
  <c r="BC14" i="37"/>
  <c r="G14" i="37"/>
  <c r="P14" i="37"/>
  <c r="X14" i="37"/>
  <c r="AF14" i="37"/>
  <c r="AN14" i="37"/>
  <c r="AV14" i="37"/>
  <c r="BD14" i="37"/>
  <c r="H14" i="37"/>
  <c r="L14" i="37"/>
  <c r="AR14" i="37"/>
  <c r="Q14" i="37"/>
  <c r="Y14" i="37"/>
  <c r="AG14" i="37"/>
  <c r="AO14" i="37"/>
  <c r="AW14" i="37"/>
  <c r="BE14" i="37"/>
  <c r="I14" i="37"/>
  <c r="AB14" i="37"/>
  <c r="J14" i="37"/>
  <c r="R14" i="37"/>
  <c r="Z14" i="37"/>
  <c r="AH14" i="37"/>
  <c r="AP14" i="37"/>
  <c r="AX14" i="37"/>
  <c r="AJ14" i="37"/>
  <c r="K14" i="37"/>
  <c r="S14" i="37"/>
  <c r="AA14" i="37"/>
  <c r="AI14" i="37"/>
  <c r="AQ14" i="37"/>
  <c r="AY14" i="37"/>
  <c r="T14" i="37"/>
  <c r="AZ14" i="37"/>
  <c r="M14" i="37"/>
  <c r="U14" i="37"/>
  <c r="AC14" i="37"/>
  <c r="AK14" i="37"/>
  <c r="AS14" i="37"/>
  <c r="BA14" i="37"/>
  <c r="R5" i="37"/>
  <c r="AP5" i="37"/>
  <c r="S5" i="37"/>
  <c r="AQ5" i="37"/>
  <c r="K5" i="37"/>
  <c r="AA5" i="37"/>
  <c r="AY5" i="37"/>
  <c r="BD5" i="37"/>
  <c r="L5" i="37"/>
  <c r="T5" i="37"/>
  <c r="AB5" i="37"/>
  <c r="AJ5" i="37"/>
  <c r="AR5" i="37"/>
  <c r="AZ5" i="37"/>
  <c r="P5" i="37"/>
  <c r="M5" i="37"/>
  <c r="U5" i="37"/>
  <c r="AC5" i="37"/>
  <c r="AK5" i="37"/>
  <c r="AS5" i="37"/>
  <c r="BA5" i="37"/>
  <c r="AN5" i="37"/>
  <c r="N5" i="37"/>
  <c r="V5" i="37"/>
  <c r="AD5" i="37"/>
  <c r="AL5" i="37"/>
  <c r="AT5" i="37"/>
  <c r="BB5" i="37"/>
  <c r="AF5" i="37"/>
  <c r="O5" i="37"/>
  <c r="W5" i="37"/>
  <c r="AE5" i="37"/>
  <c r="AM5" i="37"/>
  <c r="AU5" i="37"/>
  <c r="BC5" i="37"/>
  <c r="X5" i="37"/>
  <c r="Q5" i="37"/>
  <c r="Y5" i="37"/>
  <c r="AG5" i="37"/>
  <c r="AO5" i="37"/>
  <c r="AW5" i="37"/>
  <c r="BE5" i="37"/>
  <c r="J5" i="37"/>
  <c r="Z5" i="37"/>
  <c r="AH5" i="37"/>
  <c r="AX5" i="37"/>
  <c r="AI5" i="37"/>
  <c r="AV5" i="37"/>
  <c r="N11" i="37"/>
  <c r="AD11" i="37"/>
  <c r="AT11" i="37"/>
  <c r="AR11" i="37"/>
  <c r="G11" i="37"/>
  <c r="O11" i="37"/>
  <c r="W11" i="37"/>
  <c r="AE11" i="37"/>
  <c r="AM11" i="37"/>
  <c r="AU11" i="37"/>
  <c r="BC11" i="37"/>
  <c r="AZ11" i="37"/>
  <c r="H11" i="37"/>
  <c r="P11" i="37"/>
  <c r="X11" i="37"/>
  <c r="AF11" i="37"/>
  <c r="AN11" i="37"/>
  <c r="AV11" i="37"/>
  <c r="BD11" i="37"/>
  <c r="I11" i="37"/>
  <c r="Q11" i="37"/>
  <c r="Y11" i="37"/>
  <c r="AG11" i="37"/>
  <c r="AO11" i="37"/>
  <c r="AW11" i="37"/>
  <c r="BE11" i="37"/>
  <c r="AJ11" i="37"/>
  <c r="J11" i="37"/>
  <c r="R11" i="37"/>
  <c r="Z11" i="37"/>
  <c r="AH11" i="37"/>
  <c r="AP11" i="37"/>
  <c r="AX11" i="37"/>
  <c r="T11" i="37"/>
  <c r="K11" i="37"/>
  <c r="S11" i="37"/>
  <c r="AA11" i="37"/>
  <c r="AI11" i="37"/>
  <c r="AQ11" i="37"/>
  <c r="AY11" i="37"/>
  <c r="L11" i="37"/>
  <c r="M11" i="37"/>
  <c r="U11" i="37"/>
  <c r="AC11" i="37"/>
  <c r="AK11" i="37"/>
  <c r="AS11" i="37"/>
  <c r="BA11" i="37"/>
  <c r="F11" i="37"/>
  <c r="V11" i="37"/>
  <c r="AL11" i="37"/>
  <c r="BB11" i="37"/>
  <c r="AB11" i="37"/>
  <c r="G5" i="37"/>
  <c r="H5" i="37"/>
  <c r="I5" i="37"/>
  <c r="F5" i="37"/>
  <c r="D12" i="37" l="1"/>
  <c r="D11" i="37"/>
  <c r="D13" i="37"/>
  <c r="D10" i="37"/>
  <c r="D8" i="37"/>
  <c r="D14" i="37"/>
  <c r="D5" i="37"/>
  <c r="D9" i="37"/>
  <c r="D7" i="37"/>
  <c r="D6" i="37"/>
  <c r="C12" i="37"/>
  <c r="C11" i="37"/>
  <c r="C14" i="37"/>
  <c r="C8" i="37"/>
  <c r="C10" i="37"/>
  <c r="C13" i="37"/>
  <c r="C5" i="37"/>
  <c r="C6" i="37"/>
  <c r="C9" i="37"/>
  <c r="C7" i="37"/>
  <c r="B8" i="37" l="1"/>
  <c r="B5" i="37"/>
  <c r="B13" i="37"/>
  <c r="B10" i="37"/>
  <c r="B11" i="37"/>
  <c r="B12" i="37"/>
  <c r="B6" i="37"/>
  <c r="B14" i="37"/>
  <c r="B7" i="37"/>
  <c r="B9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20" name="Connection" type="4" refreshedVersion="7" background="1" refreshOnLoad="1" saveData="1">
    <webPr sourceData="1" parsePre="1" consecutive="1" xl2000="1" url="https://www.pro-football-reference.com/years/2021/index.htm"/>
  </connection>
</connections>
</file>

<file path=xl/sharedStrings.xml><?xml version="1.0" encoding="utf-8"?>
<sst xmlns="http://schemas.openxmlformats.org/spreadsheetml/2006/main" count="1005" uniqueCount="482">
  <si>
    <t>W</t>
  </si>
  <si>
    <t>L</t>
  </si>
  <si>
    <t>PF</t>
  </si>
  <si>
    <t>PA</t>
  </si>
  <si>
    <t>Team 1</t>
  </si>
  <si>
    <t>Team 1 Wins</t>
  </si>
  <si>
    <t>Team 2</t>
  </si>
  <si>
    <t>Team 2 Wins</t>
  </si>
  <si>
    <t>Team 3</t>
  </si>
  <si>
    <t>Team 3 Wins</t>
  </si>
  <si>
    <t>Total Wins</t>
  </si>
  <si>
    <t>Place</t>
  </si>
  <si>
    <t>Tiebreaker 1</t>
  </si>
  <si>
    <t>Tiebreaker 2</t>
  </si>
  <si>
    <t>Tiebreaker 3</t>
  </si>
  <si>
    <t>Tiebreaker 4</t>
  </si>
  <si>
    <t>Tiebreaker 5</t>
  </si>
  <si>
    <t>Tiebreaker 6</t>
  </si>
  <si>
    <t>*Tiebreaker 1 - The win total of your worst team</t>
  </si>
  <si>
    <t>*Tiebreaker 2 - The win total of your 2nd worst team</t>
  </si>
  <si>
    <t>*Tiebreaker 3 - The win total of your best team</t>
  </si>
  <si>
    <t>*Tiebreaker 4 - The point differential of your worst team</t>
  </si>
  <si>
    <t>*Tiebreaker 5 - The point differential of your 2nd worst team</t>
  </si>
  <si>
    <t>*Tiebreaker 6 - The point differential of your best team</t>
  </si>
  <si>
    <t>Fish</t>
  </si>
  <si>
    <t>Avallone</t>
  </si>
  <si>
    <t>Lil EDM</t>
  </si>
  <si>
    <t>Spike</t>
  </si>
  <si>
    <t>Cmart</t>
  </si>
  <si>
    <t>BronBino</t>
  </si>
  <si>
    <t>Lil Boi</t>
  </si>
  <si>
    <t>Flame</t>
  </si>
  <si>
    <t>AFC East</t>
  </si>
  <si>
    <t>AFC North</t>
  </si>
  <si>
    <t>AFC South</t>
  </si>
  <si>
    <t>AFC West</t>
  </si>
  <si>
    <t>NFC East</t>
  </si>
  <si>
    <t>NFC North</t>
  </si>
  <si>
    <t>NFC South</t>
  </si>
  <si>
    <t>NFC West</t>
  </si>
  <si>
    <t>Seattle Seahawks</t>
  </si>
  <si>
    <t>Dallas Cowboys</t>
  </si>
  <si>
    <t>Tennessee Titans</t>
  </si>
  <si>
    <t>Green Bay Packers</t>
  </si>
  <si>
    <t>Houston Texans</t>
  </si>
  <si>
    <t>Los Angeles Rams</t>
  </si>
  <si>
    <t>New England Patriots</t>
  </si>
  <si>
    <t>Oakland Raiders</t>
  </si>
  <si>
    <t>San Francisco 49ers</t>
  </si>
  <si>
    <t>Arizona Cardinals</t>
  </si>
  <si>
    <t>Tampa Bay Buccaneers</t>
  </si>
  <si>
    <t>Buffalo Bills</t>
  </si>
  <si>
    <t>Pittsburgh Steelers</t>
  </si>
  <si>
    <t>Jacksonville Jaguars</t>
  </si>
  <si>
    <t>New Orleans Saints</t>
  </si>
  <si>
    <t>Carolina Panthers</t>
  </si>
  <si>
    <t>Washington Redskins</t>
  </si>
  <si>
    <t>Chicago Bears</t>
  </si>
  <si>
    <t>Cincinnati Bengals</t>
  </si>
  <si>
    <t>Minnesota Vikings</t>
  </si>
  <si>
    <t>Atlanta Falcons</t>
  </si>
  <si>
    <t>Denver Broncos</t>
  </si>
  <si>
    <t>Baltimore Ravens</t>
  </si>
  <si>
    <t>New York Giants</t>
  </si>
  <si>
    <t>Indianapolis Colts</t>
  </si>
  <si>
    <t>Kansas City Chiefs</t>
  </si>
  <si>
    <t>Detroit Lions</t>
  </si>
  <si>
    <t>Name</t>
  </si>
  <si>
    <t>TableName</t>
  </si>
  <si>
    <t>Denver</t>
  </si>
  <si>
    <t>Seattle</t>
  </si>
  <si>
    <t>Carolina</t>
  </si>
  <si>
    <t>Kansas City</t>
  </si>
  <si>
    <t>Pittsburgh</t>
  </si>
  <si>
    <t>New England</t>
  </si>
  <si>
    <t>Arizona</t>
  </si>
  <si>
    <t>Green Bay</t>
  </si>
  <si>
    <t>Cincinnati</t>
  </si>
  <si>
    <t>Minnesota</t>
  </si>
  <si>
    <t>Detroit</t>
  </si>
  <si>
    <t>Houston</t>
  </si>
  <si>
    <t>N.Y. Jets</t>
  </si>
  <si>
    <t>Philadelphia</t>
  </si>
  <si>
    <t>Buffalo</t>
  </si>
  <si>
    <t>Baltimore</t>
  </si>
  <si>
    <t>N.Y. Giants</t>
  </si>
  <si>
    <t>San Francisco</t>
  </si>
  <si>
    <t>Washington</t>
  </si>
  <si>
    <t>Indianapolis</t>
  </si>
  <si>
    <t>Oakland</t>
  </si>
  <si>
    <t>Atlanta</t>
  </si>
  <si>
    <t>New Orleans</t>
  </si>
  <si>
    <t>Tampa Bay</t>
  </si>
  <si>
    <t>Dallas</t>
  </si>
  <si>
    <t>Miami</t>
  </si>
  <si>
    <t>Chicago</t>
  </si>
  <si>
    <t>Jacksonville</t>
  </si>
  <si>
    <t>Cleveland</t>
  </si>
  <si>
    <t>Team</t>
  </si>
  <si>
    <t>Win Super Bowl</t>
  </si>
  <si>
    <t>4%</t>
  </si>
  <si>
    <t>1%</t>
  </si>
  <si>
    <t>2%</t>
  </si>
  <si>
    <t>10%</t>
  </si>
  <si>
    <t>&lt;1%</t>
  </si>
  <si>
    <t>Cleveland Browns</t>
  </si>
  <si>
    <t>Philadelphia Eagles</t>
  </si>
  <si>
    <t>Proje Wins</t>
  </si>
  <si>
    <t>1Proj Wins</t>
  </si>
  <si>
    <t>2Proj Wins</t>
  </si>
  <si>
    <t>3Proj Wins</t>
  </si>
  <si>
    <t>Odell Bailey</t>
  </si>
  <si>
    <t>5%</t>
  </si>
  <si>
    <t>—</t>
  </si>
  <si>
    <t>18%</t>
  </si>
  <si>
    <t>16%</t>
  </si>
  <si>
    <t>✓</t>
  </si>
  <si>
    <t>25%</t>
  </si>
  <si>
    <t>Schedule</t>
  </si>
  <si>
    <t>Otto</t>
  </si>
  <si>
    <t>Los Angeles Chargers</t>
  </si>
  <si>
    <t>Draft</t>
  </si>
  <si>
    <t>Miami Dolphins</t>
  </si>
  <si>
    <t>New York Jets</t>
  </si>
  <si>
    <t>LA Rams</t>
  </si>
  <si>
    <t>LA Chargers</t>
  </si>
  <si>
    <t>Tennesse</t>
  </si>
  <si>
    <t>Pro Bowl</t>
  </si>
  <si>
    <t>Las Vegas Raiders</t>
  </si>
  <si>
    <t>Washington Football Team</t>
  </si>
  <si>
    <t>Player Stats</t>
  </si>
  <si>
    <t>Teams</t>
  </si>
  <si>
    <t>Login</t>
  </si>
  <si>
    <t>Widgets</t>
  </si>
  <si>
    <t>Sports Reference</t>
  </si>
  <si>
    <t>Baseball</t>
  </si>
  <si>
    <t>Football (college)</t>
  </si>
  <si>
    <t>Basketball (college)</t>
  </si>
  <si>
    <t>Hockey</t>
  </si>
  <si>
    <t>Blog</t>
  </si>
  <si>
    <t>Stathead</t>
  </si>
  <si>
    <t>Questions or Comments?</t>
  </si>
  <si>
    <t>Welcome  · Your Account</t>
  </si>
  <si>
    <t>Logout</t>
  </si>
  <si>
    <t>Create Account</t>
  </si>
  <si>
    <t>Pro-Football-Reference.com Logo &amp; Link to home page</t>
  </si>
  <si>
    <t>MENU</t>
  </si>
  <si>
    <t>Players</t>
  </si>
  <si>
    <t>Seasons</t>
  </si>
  <si>
    <t>Leaders</t>
  </si>
  <si>
    <t>NFL Scores</t>
  </si>
  <si>
    <t>Newsletter</t>
  </si>
  <si>
    <t>Full Site Menu Below</t>
  </si>
  <si>
    <t>You are here:</t>
  </si>
  <si>
    <t xml:space="preserve"> Logo</t>
  </si>
  <si>
    <t>via Sports Logos.net</t>
  </si>
  <si>
    <t>About logos</t>
  </si>
  <si>
    <t>Previous Season</t>
  </si>
  <si>
    <t>More league info</t>
  </si>
  <si>
    <t>Standard</t>
  </si>
  <si>
    <t>Passing</t>
  </si>
  <si>
    <t>Rushing</t>
  </si>
  <si>
    <t>Receiving</t>
  </si>
  <si>
    <t>Scrimmage Stats</t>
  </si>
  <si>
    <t>Defense</t>
  </si>
  <si>
    <t>Kicking &amp; Punting</t>
  </si>
  <si>
    <t>Kick &amp; Punt Returns</t>
  </si>
  <si>
    <t>Scoring</t>
  </si>
  <si>
    <t>Advanced</t>
  </si>
  <si>
    <t>Team Adv. Stats</t>
  </si>
  <si>
    <t>Fantasy</t>
  </si>
  <si>
    <t>Player Fantasy Ranks</t>
  </si>
  <si>
    <t>Red Zone Passing</t>
  </si>
  <si>
    <t>Red Zone Rushing</t>
  </si>
  <si>
    <t>Red Zone Receiving</t>
  </si>
  <si>
    <t>Defensive Stats</t>
  </si>
  <si>
    <t>Team Defense</t>
  </si>
  <si>
    <t>Defense vs. Pos</t>
  </si>
  <si>
    <t>RB</t>
  </si>
  <si>
    <t>TE</t>
  </si>
  <si>
    <t>QB</t>
  </si>
  <si>
    <t>WR</t>
  </si>
  <si>
    <t>Weeks</t>
  </si>
  <si>
    <t>Week 1</t>
  </si>
  <si>
    <t>Week 2</t>
  </si>
  <si>
    <t>Week 3</t>
  </si>
  <si>
    <t>Week 4</t>
  </si>
  <si>
    <t>Week 5</t>
  </si>
  <si>
    <t>Coaches</t>
  </si>
  <si>
    <t>Awards</t>
  </si>
  <si>
    <t>AllPro</t>
  </si>
  <si>
    <t>Other</t>
  </si>
  <si>
    <t>College Football</t>
  </si>
  <si>
    <t>Advanced Stats</t>
  </si>
  <si>
    <t>Penalties</t>
  </si>
  <si>
    <t>O-Line Penalties</t>
  </si>
  <si>
    <t>Training Camps</t>
  </si>
  <si>
    <t>Deaths</t>
  </si>
  <si>
    <t>Debuts</t>
  </si>
  <si>
    <t>Attendance</t>
  </si>
  <si>
    <t>Preseason</t>
  </si>
  <si>
    <t>Preseason Odds</t>
  </si>
  <si>
    <t>Splits</t>
  </si>
  <si>
    <t>Transactions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</si>
  <si>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</si>
  <si>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</si>
  <si>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</si>
  <si>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</si>
  <si>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</si>
  <si>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</si>
  <si>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</si>
  <si>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</si>
  <si>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Standard Player Stats</t>
  </si>
  <si>
    <t>Fantasy Player Stats</t>
  </si>
  <si>
    <t>AFC Standings</t>
  </si>
  <si>
    <t>* - division winner, + - wild card</t>
  </si>
  <si>
    <t>AFC Standings Table</t>
  </si>
  <si>
    <t>Tm</t>
  </si>
  <si>
    <t>W-L%</t>
  </si>
  <si>
    <t>PD</t>
  </si>
  <si>
    <t>MoV</t>
  </si>
  <si>
    <t>SoS</t>
  </si>
  <si>
    <t>SRS</t>
  </si>
  <si>
    <t>OSRS</t>
  </si>
  <si>
    <t>DSRS</t>
  </si>
  <si>
    <t>NFC Standings</t>
  </si>
  <si>
    <t>NFC Standings Table</t>
  </si>
  <si>
    <t>Weekly leaders, boxscores, &amp; previews</t>
  </si>
  <si>
    <t>Team Offense</t>
  </si>
  <si>
    <t>Full Site Menu</t>
  </si>
  <si>
    <t>Return to Top</t>
  </si>
  <si>
    <t>Popular: Tom Brady, Cam Newton, Aaron Donald, Russell Wilson, Aaron Rodgers, Odell Beckham Jr., J.J. Watt, Peyton Manning, Patrick Mahomes, Julio Jones, Antonio Brown, Ben Roethlisberger, Drew Brees, Todd Gurley ...</t>
  </si>
  <si>
    <t>Hall of Famers, Pro Bowlers, MVPs, Player Linker Tool ...</t>
  </si>
  <si>
    <t>NFL Leaders</t>
  </si>
  <si>
    <t>Career Passing Yards, Single Season Rush TD, Single Game Sacks ...</t>
  </si>
  <si>
    <t>All-time Scores, Find a Score ...</t>
  </si>
  <si>
    <t>NFL Draft</t>
  </si>
  <si>
    <t>Player Season Finder, Player Game Finder, Team Game Finder, Team Streak Finder ...</t>
  </si>
  <si>
    <t>Super Bowl Winners</t>
  </si>
  <si>
    <t>Super Bowl Play Finder, Super Bowl Leaders, Super Bowl Standings ...</t>
  </si>
  <si>
    <t>Schools</t>
  </si>
  <si>
    <t>All Player Colleges, High Schools ...</t>
  </si>
  <si>
    <t>NFL Coaches</t>
  </si>
  <si>
    <t>Historical Coaches: Don Shula, George Halas, Tom Landry, Curly Lambeau ...</t>
  </si>
  <si>
    <t>Executives</t>
  </si>
  <si>
    <t>Bud Adams, Scott Pioli, George Halas ...</t>
  </si>
  <si>
    <t>NFL Officials</t>
  </si>
  <si>
    <t>Ed Hochuli, Tony Steratore, Terry McAulay ...</t>
  </si>
  <si>
    <t>Fantasy Football Stats</t>
  </si>
  <si>
    <t>Current Fantasy Matchups, Fantasy Points Allowed ...</t>
  </si>
  <si>
    <t>Stadiums</t>
  </si>
  <si>
    <t>Lambeau Field, Superdome, Candlestick Park ...</t>
  </si>
  <si>
    <t>NFL Awards</t>
  </si>
  <si>
    <t>Pro Football Hall of Fame, AP NFL MVP, Pro Bowl ...</t>
  </si>
  <si>
    <t>Frivolities</t>
  </si>
  <si>
    <t>Player Linker Tool, Birthdays, Uniform Numbers ...</t>
  </si>
  <si>
    <t>About</t>
  </si>
  <si>
    <t>Glossary, Stat Minimums ...</t>
  </si>
  <si>
    <t>Articles</t>
  </si>
  <si>
    <t>Injury Risks, The Bell Curve &amp; Fantasy Football ...</t>
  </si>
  <si>
    <t>We're Social...for Statheads</t>
  </si>
  <si>
    <t>Every Sports Reference Social Media Account</t>
  </si>
  <si>
    <t>Question, Comment, Feedback, or Correction?</t>
  </si>
  <si>
    <t>Are you a Stathead, too? Subscribe to our Free Newsletter</t>
  </si>
  <si>
    <t>This Month in Sports Reference</t>
  </si>
  <si>
    <t>Find out when we add a feature or make a change</t>
  </si>
  <si>
    <t>Do you have a sports website? Or write about sports? We have tools and resources that can help you use sports data. Find out more.</t>
  </si>
  <si>
    <t>FAQs, Tip &amp; Tricks</t>
  </si>
  <si>
    <t>Learn about the Approximate Value Formula</t>
  </si>
  <si>
    <t>Details on the Pro Football Reference Win Probability</t>
  </si>
  <si>
    <t>Tips and Tricks from our Blog.</t>
  </si>
  <si>
    <t>Do you have a blog? Join our linker program.</t>
  </si>
  <si>
    <t>Watch our How-To Videos to Become a Stathead</t>
  </si>
  <si>
    <t>Subscribe to Stathead and get access to more data than you can imagine</t>
  </si>
  <si>
    <t>All logos are the trademark &amp; property of their owners and not Sports Reference LLC. We present them here for purely educational purposes. Our reasoning for presenting offensive logos.</t>
  </si>
  <si>
    <t>Logos were compiled by the amazing SportsLogos.net.</t>
  </si>
  <si>
    <t>Most data provided by 24-7 Baseball, creators of the ESPN Pro Football Encyclopedia.</t>
  </si>
  <si>
    <t>Not Picked</t>
  </si>
  <si>
    <t>Stathead Football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</si>
  <si>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</si>
  <si>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</si>
  <si>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</si>
  <si>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</si>
  <si>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</si>
  <si>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</si>
  <si>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</si>
  <si>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</si>
  <si>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</si>
  <si>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</si>
  <si>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</si>
  <si>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Paid</t>
  </si>
  <si>
    <t>X</t>
  </si>
  <si>
    <t>Who</t>
  </si>
  <si>
    <t>x</t>
  </si>
  <si>
    <t>Pick</t>
  </si>
  <si>
    <t>Bum</t>
  </si>
  <si>
    <t xml:space="preserve"> Fish</t>
  </si>
  <si>
    <t xml:space="preserve"> Flaim</t>
  </si>
  <si>
    <t xml:space="preserve"> Brad</t>
  </si>
  <si>
    <t xml:space="preserve"> Bailey</t>
  </si>
  <si>
    <t xml:space="preserve"> Rubino</t>
  </si>
  <si>
    <t xml:space="preserve"> Matt M</t>
  </si>
  <si>
    <t xml:space="preserve"> Conley</t>
  </si>
  <si>
    <t>Avg Win Total</t>
  </si>
  <si>
    <t>SD</t>
  </si>
  <si>
    <t>Pick1</t>
  </si>
  <si>
    <t>Pick2</t>
  </si>
  <si>
    <t>Pick3</t>
  </si>
  <si>
    <t>Round</t>
  </si>
  <si>
    <t>Best Record</t>
  </si>
  <si>
    <t>Worst Record</t>
  </si>
  <si>
    <t>Best Win Prediction Diff</t>
  </si>
  <si>
    <t>Worst Win Prediction Diff</t>
  </si>
  <si>
    <t>o</t>
  </si>
  <si>
    <r>
      <t>Chiefs</t>
    </r>
    <r>
      <rPr>
        <b/>
        <sz val="9"/>
        <color rgb="FFB2B2B2"/>
        <rFont val="Courier New"/>
        <family val="3"/>
      </rPr>
      <t>13-1</t>
    </r>
  </si>
  <si>
    <t>ATL</t>
  </si>
  <si>
    <t>LAC</t>
  </si>
  <si>
    <r>
      <t>Saints</t>
    </r>
    <r>
      <rPr>
        <b/>
        <sz val="9"/>
        <color rgb="FFB2B2B2"/>
        <rFont val="Courier New"/>
        <family val="3"/>
      </rPr>
      <t>10-4</t>
    </r>
  </si>
  <si>
    <t>MIN</t>
  </si>
  <si>
    <r>
      <t>@</t>
    </r>
    <r>
      <rPr>
        <sz val="9"/>
        <color rgb="FF3C3C3C"/>
        <rFont val="Courier New"/>
        <family val="3"/>
      </rPr>
      <t>CAR</t>
    </r>
  </si>
  <si>
    <r>
      <t>Bills</t>
    </r>
    <r>
      <rPr>
        <b/>
        <sz val="9"/>
        <color rgb="FFB2B2B2"/>
        <rFont val="Courier New"/>
        <family val="3"/>
      </rPr>
      <t>11-3</t>
    </r>
  </si>
  <si>
    <r>
      <t>@</t>
    </r>
    <r>
      <rPr>
        <sz val="9"/>
        <color rgb="FF3C3C3C"/>
        <rFont val="Courier New"/>
        <family val="3"/>
      </rPr>
      <t>NE</t>
    </r>
  </si>
  <si>
    <t>MIA</t>
  </si>
  <si>
    <r>
      <t>Packers</t>
    </r>
    <r>
      <rPr>
        <b/>
        <sz val="9"/>
        <color rgb="FFB2B2B2"/>
        <rFont val="Courier New"/>
        <family val="3"/>
      </rPr>
      <t>11-3</t>
    </r>
  </si>
  <si>
    <t>TEN</t>
  </si>
  <si>
    <r>
      <t>@</t>
    </r>
    <r>
      <rPr>
        <sz val="9"/>
        <color rgb="FF3C3C3C"/>
        <rFont val="Courier New"/>
        <family val="3"/>
      </rPr>
      <t>CHI</t>
    </r>
  </si>
  <si>
    <r>
      <t>Ravens</t>
    </r>
    <r>
      <rPr>
        <b/>
        <sz val="9"/>
        <color rgb="FFB2B2B2"/>
        <rFont val="Courier New"/>
        <family val="3"/>
      </rPr>
      <t>9-5</t>
    </r>
  </si>
  <si>
    <t>NYG</t>
  </si>
  <si>
    <r>
      <t>@</t>
    </r>
    <r>
      <rPr>
        <sz val="9"/>
        <color rgb="FF3C3C3C"/>
        <rFont val="Courier New"/>
        <family val="3"/>
      </rPr>
      <t>CIN</t>
    </r>
  </si>
  <si>
    <r>
      <t>Steelers</t>
    </r>
    <r>
      <rPr>
        <b/>
        <sz val="9"/>
        <color rgb="FFB2B2B2"/>
        <rFont val="Courier New"/>
        <family val="3"/>
      </rPr>
      <t>11-2</t>
    </r>
  </si>
  <si>
    <t>IND</t>
  </si>
  <si>
    <r>
      <t>@</t>
    </r>
    <r>
      <rPr>
        <sz val="9"/>
        <color rgb="FF3C3C3C"/>
        <rFont val="Courier New"/>
        <family val="3"/>
      </rPr>
      <t>CLE</t>
    </r>
  </si>
  <si>
    <r>
      <t>Colts</t>
    </r>
    <r>
      <rPr>
        <b/>
        <sz val="9"/>
        <color rgb="FFB2B2B2"/>
        <rFont val="Courier New"/>
        <family val="3"/>
      </rPr>
      <t>10-4</t>
    </r>
  </si>
  <si>
    <r>
      <t>@</t>
    </r>
    <r>
      <rPr>
        <sz val="9"/>
        <color rgb="FF3C3C3C"/>
        <rFont val="Courier New"/>
        <family val="3"/>
      </rPr>
      <t>PIT</t>
    </r>
  </si>
  <si>
    <t>JAX</t>
  </si>
  <si>
    <r>
      <t>Buccaneers</t>
    </r>
    <r>
      <rPr>
        <b/>
        <sz val="9"/>
        <color rgb="FFB2B2B2"/>
        <rFont val="Courier New"/>
        <family val="3"/>
      </rPr>
      <t>9-5</t>
    </r>
  </si>
  <si>
    <r>
      <t>@</t>
    </r>
    <r>
      <rPr>
        <sz val="9"/>
        <color rgb="FF3C3C3C"/>
        <rFont val="Courier New"/>
        <family val="3"/>
      </rPr>
      <t>DET</t>
    </r>
  </si>
  <si>
    <r>
      <t>Titans</t>
    </r>
    <r>
      <rPr>
        <b/>
        <sz val="9"/>
        <color rgb="FFB2B2B2"/>
        <rFont val="Courier New"/>
        <family val="3"/>
      </rPr>
      <t>10-4</t>
    </r>
  </si>
  <si>
    <r>
      <t>@</t>
    </r>
    <r>
      <rPr>
        <sz val="9"/>
        <color rgb="FF3C3C3C"/>
        <rFont val="Courier New"/>
        <family val="3"/>
      </rPr>
      <t>GB</t>
    </r>
  </si>
  <si>
    <r>
      <t>@</t>
    </r>
    <r>
      <rPr>
        <sz val="9"/>
        <color rgb="FF3C3C3C"/>
        <rFont val="Courier New"/>
        <family val="3"/>
      </rPr>
      <t>HOU</t>
    </r>
  </si>
  <si>
    <r>
      <t>Browns</t>
    </r>
    <r>
      <rPr>
        <b/>
        <sz val="9"/>
        <color rgb="FFB2B2B2"/>
        <rFont val="Courier New"/>
        <family val="3"/>
      </rPr>
      <t>10-4</t>
    </r>
  </si>
  <si>
    <r>
      <t>@</t>
    </r>
    <r>
      <rPr>
        <sz val="9"/>
        <color rgb="FF3C3C3C"/>
        <rFont val="Courier New"/>
        <family val="3"/>
      </rPr>
      <t>NYJ</t>
    </r>
  </si>
  <si>
    <t>PIT</t>
  </si>
  <si>
    <r>
      <t>Seahawks</t>
    </r>
    <r>
      <rPr>
        <b/>
        <sz val="9"/>
        <color rgb="FFB2B2B2"/>
        <rFont val="Courier New"/>
        <family val="3"/>
      </rPr>
      <t>10-4</t>
    </r>
  </si>
  <si>
    <t>LAR</t>
  </si>
  <si>
    <r>
      <t>@</t>
    </r>
    <r>
      <rPr>
        <sz val="9"/>
        <color rgb="FF3C3C3C"/>
        <rFont val="Courier New"/>
        <family val="3"/>
      </rPr>
      <t>SF</t>
    </r>
  </si>
  <si>
    <r>
      <t>Rams</t>
    </r>
    <r>
      <rPr>
        <b/>
        <sz val="9"/>
        <color rgb="FFB2B2B2"/>
        <rFont val="Courier New"/>
        <family val="3"/>
      </rPr>
      <t>9-5</t>
    </r>
  </si>
  <si>
    <r>
      <t>@</t>
    </r>
    <r>
      <rPr>
        <sz val="9"/>
        <color rgb="FF3C3C3C"/>
        <rFont val="Courier New"/>
        <family val="3"/>
      </rPr>
      <t>SEA</t>
    </r>
  </si>
  <si>
    <t>ARI</t>
  </si>
  <si>
    <r>
      <t>Cardinals</t>
    </r>
    <r>
      <rPr>
        <b/>
        <sz val="9"/>
        <color rgb="FFB2B2B2"/>
        <rFont val="Courier New"/>
        <family val="3"/>
      </rPr>
      <t>8-6</t>
    </r>
  </si>
  <si>
    <t>SF</t>
  </si>
  <si>
    <r>
      <t>@</t>
    </r>
    <r>
      <rPr>
        <sz val="9"/>
        <color rgb="FF3C3C3C"/>
        <rFont val="Courier New"/>
        <family val="3"/>
      </rPr>
      <t>LAR</t>
    </r>
  </si>
  <si>
    <r>
      <t>Dolphins</t>
    </r>
    <r>
      <rPr>
        <b/>
        <sz val="9"/>
        <color rgb="FFB2B2B2"/>
        <rFont val="Courier New"/>
        <family val="3"/>
      </rPr>
      <t>9-5</t>
    </r>
  </si>
  <si>
    <r>
      <t>@</t>
    </r>
    <r>
      <rPr>
        <sz val="9"/>
        <color rgb="FF3C3C3C"/>
        <rFont val="Courier New"/>
        <family val="3"/>
      </rPr>
      <t>LV</t>
    </r>
  </si>
  <si>
    <r>
      <t>@</t>
    </r>
    <r>
      <rPr>
        <sz val="9"/>
        <color rgb="FF3C3C3C"/>
        <rFont val="Courier New"/>
        <family val="3"/>
      </rPr>
      <t>BUF</t>
    </r>
  </si>
  <si>
    <r>
      <t>Bears</t>
    </r>
    <r>
      <rPr>
        <b/>
        <sz val="9"/>
        <color rgb="FFB2B2B2"/>
        <rFont val="Courier New"/>
        <family val="3"/>
      </rPr>
      <t>7-7</t>
    </r>
  </si>
  <si>
    <r>
      <t>@</t>
    </r>
    <r>
      <rPr>
        <sz val="9"/>
        <color rgb="FF3C3C3C"/>
        <rFont val="Courier New"/>
        <family val="3"/>
      </rPr>
      <t>JAX</t>
    </r>
  </si>
  <si>
    <t>GB</t>
  </si>
  <si>
    <r>
      <t>Patriots</t>
    </r>
    <r>
      <rPr>
        <b/>
        <sz val="9"/>
        <color rgb="FFB2B2B2"/>
        <rFont val="Courier New"/>
        <family val="3"/>
      </rPr>
      <t>6-8</t>
    </r>
  </si>
  <si>
    <t>BUF</t>
  </si>
  <si>
    <t>NYJ</t>
  </si>
  <si>
    <r>
      <t>Vikings</t>
    </r>
    <r>
      <rPr>
        <b/>
        <sz val="9"/>
        <color rgb="FFB2B2B2"/>
        <rFont val="Courier New"/>
        <family val="3"/>
      </rPr>
      <t>6-8</t>
    </r>
  </si>
  <si>
    <r>
      <t>@</t>
    </r>
    <r>
      <rPr>
        <sz val="9"/>
        <color rgb="FF3C3C3C"/>
        <rFont val="Courier New"/>
        <family val="3"/>
      </rPr>
      <t>NO</t>
    </r>
  </si>
  <si>
    <r>
      <t>Washington</t>
    </r>
    <r>
      <rPr>
        <b/>
        <sz val="9"/>
        <color rgb="FFB2B2B2"/>
        <rFont val="Courier New"/>
        <family val="3"/>
      </rPr>
      <t>6-8</t>
    </r>
  </si>
  <si>
    <t>CAR</t>
  </si>
  <si>
    <r>
      <t>@</t>
    </r>
    <r>
      <rPr>
        <sz val="9"/>
        <color rgb="FF3C3C3C"/>
        <rFont val="Courier New"/>
        <family val="3"/>
      </rPr>
      <t>PHI</t>
    </r>
  </si>
  <si>
    <r>
      <t>49ers</t>
    </r>
    <r>
      <rPr>
        <b/>
        <sz val="9"/>
        <color rgb="FFB2B2B2"/>
        <rFont val="Courier New"/>
        <family val="3"/>
      </rPr>
      <t>5-9</t>
    </r>
  </si>
  <si>
    <r>
      <t>@</t>
    </r>
    <r>
      <rPr>
        <sz val="9"/>
        <color rgb="FF3C3C3C"/>
        <rFont val="Courier New"/>
        <family val="3"/>
      </rPr>
      <t>ARI</t>
    </r>
  </si>
  <si>
    <t>SEA</t>
  </si>
  <si>
    <r>
      <t>Broncos</t>
    </r>
    <r>
      <rPr>
        <b/>
        <sz val="9"/>
        <color rgb="FFB2B2B2"/>
        <rFont val="Courier New"/>
        <family val="3"/>
      </rPr>
      <t>5-9</t>
    </r>
  </si>
  <si>
    <r>
      <t>@</t>
    </r>
    <r>
      <rPr>
        <sz val="9"/>
        <color rgb="FF3C3C3C"/>
        <rFont val="Courier New"/>
        <family val="3"/>
      </rPr>
      <t>LAC</t>
    </r>
  </si>
  <si>
    <t>LV</t>
  </si>
  <si>
    <r>
      <t>Raiders</t>
    </r>
    <r>
      <rPr>
        <b/>
        <sz val="9"/>
        <color rgb="FFB2B2B2"/>
        <rFont val="Courier New"/>
        <family val="3"/>
      </rPr>
      <t>7-7</t>
    </r>
  </si>
  <si>
    <r>
      <t>@</t>
    </r>
    <r>
      <rPr>
        <sz val="9"/>
        <color rgb="FF3C3C3C"/>
        <rFont val="Courier New"/>
        <family val="3"/>
      </rPr>
      <t>DEN</t>
    </r>
  </si>
  <si>
    <r>
      <t>Falcons</t>
    </r>
    <r>
      <rPr>
        <b/>
        <sz val="9"/>
        <color rgb="FFB2B2B2"/>
        <rFont val="Courier New"/>
        <family val="3"/>
      </rPr>
      <t>4-10</t>
    </r>
  </si>
  <si>
    <r>
      <t>@</t>
    </r>
    <r>
      <rPr>
        <sz val="9"/>
        <color rgb="FF3C3C3C"/>
        <rFont val="Courier New"/>
        <family val="3"/>
      </rPr>
      <t>KC</t>
    </r>
  </si>
  <si>
    <r>
      <t>@</t>
    </r>
    <r>
      <rPr>
        <sz val="9"/>
        <color rgb="FF3C3C3C"/>
        <rFont val="Courier New"/>
        <family val="3"/>
      </rPr>
      <t>TB</t>
    </r>
  </si>
  <si>
    <r>
      <t>Eagles</t>
    </r>
    <r>
      <rPr>
        <b/>
        <sz val="9"/>
        <color rgb="FFB2B2B2"/>
        <rFont val="Courier New"/>
        <family val="3"/>
      </rPr>
      <t>4-9-1</t>
    </r>
  </si>
  <si>
    <r>
      <t>@</t>
    </r>
    <r>
      <rPr>
        <sz val="9"/>
        <color rgb="FF3C3C3C"/>
        <rFont val="Courier New"/>
        <family val="3"/>
      </rPr>
      <t>DAL</t>
    </r>
  </si>
  <si>
    <t>WSH</t>
  </si>
  <si>
    <r>
      <t>Panthers</t>
    </r>
    <r>
      <rPr>
        <b/>
        <sz val="9"/>
        <color rgb="FFB2B2B2"/>
        <rFont val="Courier New"/>
        <family val="3"/>
      </rPr>
      <t>4-10</t>
    </r>
  </si>
  <si>
    <r>
      <t>@</t>
    </r>
    <r>
      <rPr>
        <sz val="9"/>
        <color rgb="FF3C3C3C"/>
        <rFont val="Courier New"/>
        <family val="3"/>
      </rPr>
      <t>WSH</t>
    </r>
  </si>
  <si>
    <t>NO</t>
  </si>
  <si>
    <r>
      <t>Chargers</t>
    </r>
    <r>
      <rPr>
        <b/>
        <sz val="9"/>
        <color rgb="FFB2B2B2"/>
        <rFont val="Courier New"/>
        <family val="3"/>
      </rPr>
      <t>5-9</t>
    </r>
  </si>
  <si>
    <t>DEN</t>
  </si>
  <si>
    <r>
      <t>Texans</t>
    </r>
    <r>
      <rPr>
        <b/>
        <sz val="9"/>
        <color rgb="FFB2B2B2"/>
        <rFont val="Courier New"/>
        <family val="3"/>
      </rPr>
      <t>4-10</t>
    </r>
  </si>
  <si>
    <t>CIN</t>
  </si>
  <si>
    <r>
      <t>Cowboys</t>
    </r>
    <r>
      <rPr>
        <b/>
        <sz val="9"/>
        <color rgb="FFB2B2B2"/>
        <rFont val="Courier New"/>
        <family val="3"/>
      </rPr>
      <t>5-9</t>
    </r>
  </si>
  <si>
    <t>PHI</t>
  </si>
  <si>
    <r>
      <t>@</t>
    </r>
    <r>
      <rPr>
        <sz val="9"/>
        <color rgb="FF3C3C3C"/>
        <rFont val="Courier New"/>
        <family val="3"/>
      </rPr>
      <t>NYG</t>
    </r>
  </si>
  <si>
    <r>
      <t>Giants</t>
    </r>
    <r>
      <rPr>
        <b/>
        <sz val="9"/>
        <color rgb="FFB2B2B2"/>
        <rFont val="Courier New"/>
        <family val="3"/>
      </rPr>
      <t>5-9</t>
    </r>
  </si>
  <si>
    <r>
      <t>@</t>
    </r>
    <r>
      <rPr>
        <sz val="9"/>
        <color rgb="FF3C3C3C"/>
        <rFont val="Courier New"/>
        <family val="3"/>
      </rPr>
      <t>BAL</t>
    </r>
  </si>
  <si>
    <t>DAL</t>
  </si>
  <si>
    <r>
      <t>Lions</t>
    </r>
    <r>
      <rPr>
        <b/>
        <sz val="9"/>
        <color rgb="FFB2B2B2"/>
        <rFont val="Courier New"/>
        <family val="3"/>
      </rPr>
      <t>5-9</t>
    </r>
  </si>
  <si>
    <t>TB</t>
  </si>
  <si>
    <r>
      <t>Jaguars</t>
    </r>
    <r>
      <rPr>
        <b/>
        <sz val="9"/>
        <color rgb="FFB2B2B2"/>
        <rFont val="Courier New"/>
        <family val="3"/>
      </rPr>
      <t>1-13</t>
    </r>
  </si>
  <si>
    <t>CHI</t>
  </si>
  <si>
    <r>
      <t>@</t>
    </r>
    <r>
      <rPr>
        <sz val="9"/>
        <color rgb="FF3C3C3C"/>
        <rFont val="Courier New"/>
        <family val="3"/>
      </rPr>
      <t>IND</t>
    </r>
  </si>
  <si>
    <r>
      <t>Jets</t>
    </r>
    <r>
      <rPr>
        <b/>
        <sz val="9"/>
        <color rgb="FFB2B2B2"/>
        <rFont val="Courier New"/>
        <family val="3"/>
      </rPr>
      <t>1-13</t>
    </r>
  </si>
  <si>
    <t>CLE</t>
  </si>
  <si>
    <r>
      <t>Bengals</t>
    </r>
    <r>
      <rPr>
        <b/>
        <sz val="9"/>
        <color rgb="FFB2B2B2"/>
        <rFont val="Courier New"/>
        <family val="3"/>
      </rPr>
      <t>2-10-1</t>
    </r>
  </si>
  <si>
    <t>PLAYOFF CHANCES</t>
  </si>
  <si>
    <t>CHOOSE YOUR OWN RESULTS</t>
  </si>
  <si>
    <t>ELO RATING</t>
  </si>
  <si>
    <t>1-WEEK CHANGE</t>
  </si>
  <si>
    <t>TEAM</t>
  </si>
  <si>
    <t>DIVISION</t>
  </si>
  <si>
    <t>MAKE PLAYOFFS</t>
  </si>
  <si>
    <t>WIN DIVISION</t>
  </si>
  <si>
    <t>1ST-ROUND BYE</t>
  </si>
  <si>
    <t>WIN SUPER BOWL</t>
  </si>
  <si>
    <t>WEEK 15 MATCHUP</t>
  </si>
  <si>
    <t>WEEK 16 MATCHUP</t>
  </si>
  <si>
    <t>WEEK 17 MATCHUP</t>
  </si>
  <si>
    <t>Person</t>
  </si>
  <si>
    <t>Wins</t>
  </si>
  <si>
    <t>Weeks Remaining</t>
  </si>
  <si>
    <t>In the hunt (2nd)</t>
  </si>
  <si>
    <t>In the hunt (1st)</t>
  </si>
  <si>
    <t>In the Hunt</t>
  </si>
  <si>
    <t>Copyright © 2000-2021 Sports Reference LLC. All rights reserved.</t>
  </si>
  <si>
    <t>Week 17</t>
  </si>
  <si>
    <t>On this page:</t>
  </si>
  <si>
    <t>2020, 2019, 2018, 2017, 2016, ...</t>
  </si>
  <si>
    <t>2021 Draft, Draft Finder, Draft History ...</t>
  </si>
  <si>
    <t xml:space="preserve"> Otter</t>
  </si>
  <si>
    <t xml:space="preserve"> Chris M</t>
  </si>
  <si>
    <t xml:space="preserve"> Avallone</t>
  </si>
  <si>
    <t>PFR Home Page &gt; All Years &gt; 2021 NFL &gt; Standings &amp; Team Stats</t>
  </si>
  <si>
    <t>2021 NFL Standings &amp; Team Stats</t>
  </si>
  <si>
    <t>2021 NFL Season</t>
  </si>
  <si>
    <t>Week 18</t>
  </si>
  <si>
    <t>More 2021 NFL Pages</t>
  </si>
  <si>
    <t>2021 Week Summaries</t>
  </si>
  <si>
    <t>You are here: PFR Home Page &gt; All Years &gt; 2021 NFL &gt; Standings &amp; Team Stats</t>
  </si>
  <si>
    <t>Awards Voting</t>
  </si>
  <si>
    <t>September</t>
  </si>
  <si>
    <t>Passing Offense</t>
  </si>
  <si>
    <t>Rushing Offense</t>
  </si>
  <si>
    <t>Scoring Offense</t>
  </si>
  <si>
    <t>Conversions</t>
  </si>
  <si>
    <t>Current Season, Current Season Schedule, Current Leaders</t>
  </si>
  <si>
    <t>Drive Averages</t>
  </si>
  <si>
    <t>NFC North: Packers, Vikings, Bears, Lions</t>
  </si>
  <si>
    <t>October</t>
  </si>
  <si>
    <t>November</t>
  </si>
  <si>
    <t>AFC Playoff Standings</t>
  </si>
  <si>
    <t>NFC Playoff Standings</t>
  </si>
  <si>
    <t>Baltimore Ravens*</t>
  </si>
  <si>
    <t>Tennessee Titans*</t>
  </si>
  <si>
    <t>Dallas Cowboys*</t>
  </si>
  <si>
    <t>Green Bay Packers*</t>
  </si>
  <si>
    <t>Tampa Bay Buccaneers*</t>
  </si>
  <si>
    <t>Arizona Cardinals*</t>
  </si>
  <si>
    <t>Los Angeles Rams+</t>
  </si>
  <si>
    <t>T</t>
  </si>
  <si>
    <t>Kansas City Chiefs*</t>
  </si>
  <si>
    <t>Los Angeles Chargers+</t>
  </si>
  <si>
    <t>NFC West: Cardinals, Rams, 49ers, Seahawks</t>
  </si>
  <si>
    <t>Data Provided By SportRadar</t>
  </si>
  <si>
    <t>New England Patriots*</t>
  </si>
  <si>
    <t>AFC South: Titans, Colts, Texans, Jaguars</t>
  </si>
  <si>
    <t>San Francisco 49ers+</t>
  </si>
  <si>
    <t>Buffalo Bills+</t>
  </si>
  <si>
    <t>AFC East: Patriots, Bills, Dolphins, Jets</t>
  </si>
  <si>
    <t>Washington Football Team+</t>
  </si>
  <si>
    <t>December</t>
  </si>
  <si>
    <t>About • Conditions &amp; Terms of Service • Advertise With Us</t>
  </si>
  <si>
    <t>Privacy Policy • Gambling Revenue Policy • Accessibility Policy • Use of Data</t>
  </si>
  <si>
    <t>Rushing Leader: Jonathan Taylor, 1348 Yds</t>
  </si>
  <si>
    <t>Active Coaches: Bill Belichick, Andy Reid, Mike Tomlin, Pete Carroll ...</t>
  </si>
  <si>
    <t>AFC North: Ravens, Bengals, Browns, Steelers</t>
  </si>
  <si>
    <t>Soccer</t>
  </si>
  <si>
    <t>Passing Leader: Tom Brady, 4134 Yds</t>
  </si>
  <si>
    <t>Receiving Leader: Cooper Kupp, 1489 Yds</t>
  </si>
  <si>
    <t>Indianapolis Colts+</t>
  </si>
  <si>
    <t>In the News: Jimmy Garoppolo, Aaron Rodgers, Russell Wilson, Joe Burrow, Tom Brady, Ben Roethlisberger ...</t>
  </si>
  <si>
    <t>AFC West: Chiefs, Chargers, Broncos, Raiders</t>
  </si>
  <si>
    <t>NFC East: Cowboys, Eagles, Football Team, Giants</t>
  </si>
  <si>
    <t>NFC South: Buccaneers, Saints, Falcons, Panthers</t>
  </si>
  <si>
    <t>Site Last Updated: Tuesday, December 14, 3:49PM</t>
  </si>
  <si>
    <t>Fußball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</si>
</sst>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ourier New"/>
      <family val="3"/>
    </font>
    <font>
      <sz val="9"/>
      <color rgb="FF000000"/>
      <name val="Inherit"/>
    </font>
    <font>
      <sz val="13"/>
      <color rgb="FF000000"/>
      <name val="Inherit"/>
    </font>
    <font>
      <b/>
      <sz val="13"/>
      <color rgb="FF000000"/>
      <name val="Inherit"/>
    </font>
    <font>
      <b/>
      <sz val="9"/>
      <color rgb="FFB2B2B2"/>
      <name val="Courier New"/>
      <family val="3"/>
    </font>
    <font>
      <sz val="12"/>
      <color rgb="FF000000"/>
      <name val="Inherit"/>
    </font>
    <font>
      <sz val="11"/>
      <color rgb="FF444444"/>
      <name val="Courier New"/>
      <family val="3"/>
    </font>
    <font>
      <sz val="9"/>
      <color rgb="FF3C3C3C"/>
      <name val="Courier New"/>
      <family val="3"/>
    </font>
    <font>
      <sz val="9"/>
      <color rgb="FF3C3C3C"/>
      <name val="Arial"/>
      <family val="2"/>
    </font>
    <font>
      <sz val="11"/>
      <color rgb="FFCCCCCC"/>
      <name val="Courier New"/>
      <family val="3"/>
    </font>
    <font>
      <b/>
      <sz val="8"/>
      <color rgb="FF000000"/>
      <name val="Inherit"/>
    </font>
    <font>
      <sz val="8"/>
      <color rgb="FF000000"/>
      <name val="Inherit"/>
    </font>
  </fonts>
  <fills count="43">
    <fill>
      <patternFill patternType="none"/>
    </fill>
    <fill>
      <patternFill patternType="gray125"/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FD5"/>
        <bgColor indexed="64"/>
      </patternFill>
    </fill>
    <fill>
      <patternFill patternType="solid">
        <fgColor rgb="FF0692D6"/>
        <bgColor indexed="64"/>
      </patternFill>
    </fill>
    <fill>
      <patternFill patternType="solid">
        <fgColor rgb="FFF8FCFE"/>
        <bgColor indexed="64"/>
      </patternFill>
    </fill>
    <fill>
      <patternFill patternType="solid">
        <fgColor rgb="FFF9FCFE"/>
        <bgColor indexed="64"/>
      </patternFill>
    </fill>
    <fill>
      <patternFill patternType="solid">
        <fgColor rgb="FFF3FAFD"/>
        <bgColor indexed="64"/>
      </patternFill>
    </fill>
    <fill>
      <patternFill patternType="solid">
        <fgColor rgb="FFFBFDFE"/>
        <bgColor indexed="64"/>
      </patternFill>
    </fill>
    <fill>
      <patternFill patternType="solid">
        <fgColor rgb="FF0591D6"/>
        <bgColor indexed="64"/>
      </patternFill>
    </fill>
    <fill>
      <patternFill patternType="solid">
        <fgColor rgb="FFA6D8F0"/>
        <bgColor indexed="64"/>
      </patternFill>
    </fill>
    <fill>
      <patternFill patternType="solid">
        <fgColor rgb="FFFDFEFF"/>
        <bgColor indexed="64"/>
      </patternFill>
    </fill>
    <fill>
      <patternFill patternType="solid">
        <fgColor rgb="FFFEFFFF"/>
        <bgColor indexed="64"/>
      </patternFill>
    </fill>
    <fill>
      <patternFill patternType="solid">
        <fgColor rgb="FFFAFDFE"/>
        <bgColor indexed="64"/>
      </patternFill>
    </fill>
    <fill>
      <patternFill patternType="solid">
        <fgColor rgb="FFE7F4FB"/>
        <bgColor indexed="64"/>
      </patternFill>
    </fill>
    <fill>
      <patternFill patternType="solid">
        <fgColor rgb="FFA3D7F0"/>
        <bgColor indexed="64"/>
      </patternFill>
    </fill>
    <fill>
      <patternFill patternType="solid">
        <fgColor rgb="FF0792D6"/>
        <bgColor indexed="64"/>
      </patternFill>
    </fill>
    <fill>
      <patternFill patternType="solid">
        <fgColor rgb="FFDAEFF9"/>
        <bgColor indexed="64"/>
      </patternFill>
    </fill>
    <fill>
      <patternFill patternType="solid">
        <fgColor rgb="FFE0F1FA"/>
        <bgColor indexed="64"/>
      </patternFill>
    </fill>
    <fill>
      <patternFill patternType="solid">
        <fgColor rgb="FFEDF7FC"/>
        <bgColor indexed="64"/>
      </patternFill>
    </fill>
    <fill>
      <patternFill patternType="solid">
        <fgColor rgb="FF37A7DE"/>
        <bgColor indexed="64"/>
      </patternFill>
    </fill>
    <fill>
      <patternFill patternType="solid">
        <fgColor rgb="FFD7EEF8"/>
        <bgColor indexed="64"/>
      </patternFill>
    </fill>
    <fill>
      <patternFill patternType="solid">
        <fgColor rgb="FF249FDB"/>
        <bgColor indexed="64"/>
      </patternFill>
    </fill>
    <fill>
      <patternFill patternType="solid">
        <fgColor rgb="FF0A94D7"/>
        <bgColor indexed="64"/>
      </patternFill>
    </fill>
    <fill>
      <patternFill patternType="solid">
        <fgColor rgb="FFF2F9FD"/>
        <bgColor indexed="64"/>
      </patternFill>
    </fill>
    <fill>
      <patternFill patternType="solid">
        <fgColor rgb="FF1699D9"/>
        <bgColor indexed="64"/>
      </patternFill>
    </fill>
    <fill>
      <patternFill patternType="solid">
        <fgColor rgb="FF95D0EE"/>
        <bgColor indexed="64"/>
      </patternFill>
    </fill>
    <fill>
      <patternFill patternType="solid">
        <fgColor rgb="FFF5FAFD"/>
        <bgColor indexed="64"/>
      </patternFill>
    </fill>
    <fill>
      <patternFill patternType="solid">
        <fgColor rgb="FF6ABEE6"/>
        <bgColor indexed="64"/>
      </patternFill>
    </fill>
    <fill>
      <patternFill patternType="solid">
        <fgColor rgb="FFF7FBFE"/>
        <bgColor indexed="64"/>
      </patternFill>
    </fill>
    <fill>
      <patternFill patternType="solid">
        <fgColor rgb="FF1A9AD9"/>
        <bgColor indexed="64"/>
      </patternFill>
    </fill>
    <fill>
      <patternFill patternType="solid">
        <fgColor rgb="FF55B4E3"/>
        <bgColor indexed="64"/>
      </patternFill>
    </fill>
    <fill>
      <patternFill patternType="solid">
        <fgColor rgb="FFF1F9FD"/>
        <bgColor indexed="64"/>
      </patternFill>
    </fill>
    <fill>
      <patternFill patternType="solid">
        <fgColor rgb="FF0491D6"/>
        <bgColor indexed="64"/>
      </patternFill>
    </fill>
    <fill>
      <patternFill patternType="solid">
        <fgColor rgb="FFAADAF1"/>
        <bgColor indexed="64"/>
      </patternFill>
    </fill>
    <fill>
      <patternFill patternType="solid">
        <fgColor rgb="FFF6FBFE"/>
        <bgColor indexed="64"/>
      </patternFill>
    </fill>
    <fill>
      <patternFill patternType="solid">
        <fgColor rgb="FF52B3E3"/>
        <bgColor indexed="64"/>
      </patternFill>
    </fill>
    <fill>
      <patternFill patternType="solid">
        <fgColor rgb="FFA9D9F1"/>
        <bgColor indexed="64"/>
      </patternFill>
    </fill>
    <fill>
      <patternFill patternType="solid">
        <fgColor rgb="FF38A7DE"/>
        <bgColor indexed="64"/>
      </patternFill>
    </fill>
    <fill>
      <patternFill patternType="solid">
        <fgColor rgb="FFECF7FC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F0F0F0"/>
      </bottom>
      <diagonal/>
    </border>
    <border>
      <left style="thick">
        <color rgb="FF222222"/>
      </left>
      <right/>
      <top/>
      <bottom style="medium">
        <color rgb="FFF0F0F0"/>
      </bottom>
      <diagonal/>
    </border>
    <border>
      <left/>
      <right style="thick">
        <color rgb="FF222222"/>
      </right>
      <top/>
      <bottom style="medium">
        <color rgb="FFF0F0F0"/>
      </bottom>
      <diagonal/>
    </border>
    <border>
      <left/>
      <right style="medium">
        <color rgb="FF999999"/>
      </right>
      <top/>
      <bottom style="medium">
        <color rgb="FFF0F0F0"/>
      </bottom>
      <diagonal/>
    </border>
    <border>
      <left style="thick">
        <color rgb="FF222222"/>
      </left>
      <right/>
      <top/>
      <bottom/>
      <diagonal/>
    </border>
    <border>
      <left/>
      <right style="thick">
        <color rgb="FF222222"/>
      </right>
      <top/>
      <bottom/>
      <diagonal/>
    </border>
    <border>
      <left/>
      <right/>
      <top/>
      <bottom style="medium">
        <color rgb="FFCDCDCD"/>
      </bottom>
      <diagonal/>
    </border>
    <border>
      <left style="thick">
        <color rgb="FFFFFFFF"/>
      </left>
      <right/>
      <top/>
      <bottom style="medium">
        <color rgb="FFCDCDCD"/>
      </bottom>
      <diagonal/>
    </border>
    <border>
      <left style="thin">
        <color auto="1"/>
      </left>
      <right/>
      <top/>
      <bottom/>
      <diagonal/>
    </border>
    <border>
      <left/>
      <right style="thick">
        <color rgb="FFFFFFFF"/>
      </right>
      <top/>
      <bottom style="medium">
        <color rgb="FFCDCDCD"/>
      </bottom>
      <diagonal/>
    </border>
    <border>
      <left/>
      <right style="thin">
        <color auto="1"/>
      </right>
      <top/>
      <bottom style="medium">
        <color rgb="FFCDCDCD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0" xfId="0"/>
    <xf numFmtId="1" fontId="0" fillId="0" borderId="0" xfId="0" applyNumberFormat="1"/>
    <xf numFmtId="0" fontId="1" fillId="0" borderId="0" xfId="0" applyFont="1" applyFill="1" applyBorder="1"/>
    <xf numFmtId="0" fontId="2" fillId="0" borderId="13" xfId="0" applyFont="1" applyBorder="1" applyAlignment="1">
      <alignment horizontal="center" vertical="top"/>
    </xf>
    <xf numFmtId="0" fontId="4" fillId="0" borderId="6" xfId="0" applyFont="1" applyBorder="1" applyAlignment="1">
      <alignment horizontal="right"/>
    </xf>
    <xf numFmtId="0" fontId="4" fillId="0" borderId="7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4" fillId="0" borderId="0" xfId="0" applyFont="1" applyAlignment="1">
      <alignment horizontal="right"/>
    </xf>
    <xf numFmtId="0" fontId="4" fillId="2" borderId="2" xfId="0" applyFont="1" applyFill="1" applyBorder="1" applyAlignment="1">
      <alignment horizontal="right"/>
    </xf>
    <xf numFmtId="0" fontId="4" fillId="0" borderId="3" xfId="0" applyFont="1" applyFill="1" applyBorder="1" applyAlignment="1">
      <alignment horizontal="right"/>
    </xf>
    <xf numFmtId="0" fontId="5" fillId="0" borderId="3" xfId="0" applyFont="1" applyFill="1" applyBorder="1" applyAlignment="1">
      <alignment horizontal="right"/>
    </xf>
    <xf numFmtId="0" fontId="4" fillId="0" borderId="4" xfId="0" applyFont="1" applyBorder="1" applyAlignment="1">
      <alignment horizontal="right"/>
    </xf>
    <xf numFmtId="0" fontId="4" fillId="0" borderId="1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0" borderId="9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right"/>
    </xf>
    <xf numFmtId="0" fontId="4" fillId="0" borderId="12" xfId="0" applyFont="1" applyFill="1" applyBorder="1" applyAlignment="1">
      <alignment horizontal="right"/>
    </xf>
    <xf numFmtId="0" fontId="5" fillId="0" borderId="12" xfId="0" applyFont="1" applyFill="1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0" fontId="4" fillId="0" borderId="10" xfId="0" applyFont="1" applyFill="1" applyBorder="1" applyAlignment="1">
      <alignment horizontal="right"/>
    </xf>
    <xf numFmtId="0" fontId="5" fillId="0" borderId="10" xfId="0" applyFont="1" applyFill="1" applyBorder="1" applyAlignment="1">
      <alignment horizontal="right"/>
    </xf>
    <xf numFmtId="0" fontId="5" fillId="0" borderId="1" xfId="0" applyFont="1" applyFill="1" applyBorder="1" applyAlignment="1">
      <alignment horizontal="right"/>
    </xf>
    <xf numFmtId="0" fontId="5" fillId="0" borderId="11" xfId="0" applyFont="1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0" xfId="0" applyFont="1"/>
    <xf numFmtId="0" fontId="0" fillId="3" borderId="14" xfId="0" applyFont="1" applyFill="1" applyBorder="1" applyAlignment="1">
      <alignment horizontal="right"/>
    </xf>
    <xf numFmtId="0" fontId="0" fillId="0" borderId="15" xfId="0" applyFont="1" applyBorder="1" applyAlignment="1">
      <alignment horizontal="right"/>
    </xf>
    <xf numFmtId="0" fontId="0" fillId="3" borderId="15" xfId="0" applyFont="1" applyFill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0" fillId="4" borderId="0" xfId="0" applyFill="1"/>
    <xf numFmtId="164" fontId="0" fillId="0" borderId="0" xfId="0" applyNumberFormat="1"/>
    <xf numFmtId="0" fontId="0" fillId="0" borderId="13" xfId="0" applyBorder="1"/>
    <xf numFmtId="164" fontId="1" fillId="0" borderId="0" xfId="0" applyNumberFormat="1" applyFont="1" applyFill="1" applyBorder="1"/>
    <xf numFmtId="17" fontId="0" fillId="0" borderId="0" xfId="0" applyNumberFormat="1"/>
    <xf numFmtId="0" fontId="1" fillId="0" borderId="0" xfId="0" applyFont="1" applyFill="1" applyAlignment="1">
      <alignment horizontal="right"/>
    </xf>
    <xf numFmtId="0" fontId="1" fillId="0" borderId="0" xfId="0" applyFont="1" applyFill="1"/>
    <xf numFmtId="164" fontId="1" fillId="0" borderId="0" xfId="0" applyNumberFormat="1" applyFont="1" applyFill="1"/>
    <xf numFmtId="0" fontId="0" fillId="0" borderId="6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18" xfId="0" applyFont="1" applyBorder="1" applyAlignment="1">
      <alignment horizontal="right"/>
    </xf>
    <xf numFmtId="0" fontId="0" fillId="0" borderId="0" xfId="0" applyAlignment="1">
      <alignment wrapText="1"/>
    </xf>
    <xf numFmtId="0" fontId="0" fillId="5" borderId="0" xfId="0" applyFill="1"/>
    <xf numFmtId="0" fontId="7" fillId="5" borderId="19" xfId="0" applyFont="1" applyFill="1" applyBorder="1" applyAlignment="1">
      <alignment horizontal="left" vertical="center" wrapText="1"/>
    </xf>
    <xf numFmtId="0" fontId="8" fillId="5" borderId="19" xfId="0" applyFont="1" applyFill="1" applyBorder="1" applyAlignment="1">
      <alignment horizontal="right" vertical="center" wrapText="1"/>
    </xf>
    <xf numFmtId="0" fontId="9" fillId="5" borderId="19" xfId="0" applyFont="1" applyFill="1" applyBorder="1" applyAlignment="1">
      <alignment vertical="center" wrapText="1"/>
    </xf>
    <xf numFmtId="0" fontId="10" fillId="5" borderId="19" xfId="0" applyFont="1" applyFill="1" applyBorder="1" applyAlignment="1">
      <alignment vertical="center"/>
    </xf>
    <xf numFmtId="0" fontId="12" fillId="5" borderId="19" xfId="0" applyFont="1" applyFill="1" applyBorder="1" applyAlignment="1">
      <alignment vertical="center" wrapText="1"/>
    </xf>
    <xf numFmtId="0" fontId="13" fillId="6" borderId="20" xfId="0" applyFont="1" applyFill="1" applyBorder="1" applyAlignment="1">
      <alignment horizontal="right" vertical="center" wrapText="1"/>
    </xf>
    <xf numFmtId="0" fontId="13" fillId="6" borderId="19" xfId="0" applyFont="1" applyFill="1" applyBorder="1" applyAlignment="1">
      <alignment horizontal="right" vertical="center" wrapText="1"/>
    </xf>
    <xf numFmtId="9" fontId="13" fillId="7" borderId="19" xfId="0" applyNumberFormat="1" applyFont="1" applyFill="1" applyBorder="1" applyAlignment="1">
      <alignment horizontal="right" vertical="center" wrapText="1"/>
    </xf>
    <xf numFmtId="0" fontId="9" fillId="5" borderId="22" xfId="0" applyFont="1" applyFill="1" applyBorder="1" applyAlignment="1">
      <alignment vertical="center" wrapText="1"/>
    </xf>
    <xf numFmtId="0" fontId="14" fillId="5" borderId="22" xfId="0" applyFont="1" applyFill="1" applyBorder="1" applyAlignment="1">
      <alignment horizontal="left" vertical="center" wrapText="1"/>
    </xf>
    <xf numFmtId="0" fontId="14" fillId="5" borderId="19" xfId="0" applyFont="1" applyFill="1" applyBorder="1" applyAlignment="1">
      <alignment horizontal="left" vertical="center" wrapText="1"/>
    </xf>
    <xf numFmtId="0" fontId="15" fillId="5" borderId="19" xfId="0" applyFont="1" applyFill="1" applyBorder="1" applyAlignment="1">
      <alignment horizontal="left" vertical="center" wrapText="1"/>
    </xf>
    <xf numFmtId="0" fontId="16" fillId="5" borderId="19" xfId="0" applyFont="1" applyFill="1" applyBorder="1" applyAlignment="1">
      <alignment horizontal="right" vertical="center" wrapText="1"/>
    </xf>
    <xf numFmtId="0" fontId="15" fillId="5" borderId="22" xfId="0" applyFont="1" applyFill="1" applyBorder="1" applyAlignment="1">
      <alignment horizontal="left" vertical="center" wrapText="1"/>
    </xf>
    <xf numFmtId="9" fontId="13" fillId="8" borderId="21" xfId="0" applyNumberFormat="1" applyFont="1" applyFill="1" applyBorder="1" applyAlignment="1">
      <alignment horizontal="right" vertical="center" wrapText="1"/>
    </xf>
    <xf numFmtId="0" fontId="8" fillId="5" borderId="19" xfId="0" applyFont="1" applyFill="1" applyBorder="1" applyAlignment="1">
      <alignment horizontal="left" vertical="top" wrapText="1"/>
    </xf>
    <xf numFmtId="9" fontId="13" fillId="9" borderId="19" xfId="0" applyNumberFormat="1" applyFont="1" applyFill="1" applyBorder="1" applyAlignment="1">
      <alignment horizontal="right" vertical="center" wrapText="1"/>
    </xf>
    <xf numFmtId="9" fontId="13" fillId="10" borderId="21" xfId="0" applyNumberFormat="1" applyFont="1" applyFill="1" applyBorder="1" applyAlignment="1">
      <alignment horizontal="right" vertical="center" wrapText="1"/>
    </xf>
    <xf numFmtId="9" fontId="13" fillId="12" borderId="20" xfId="0" applyNumberFormat="1" applyFont="1" applyFill="1" applyBorder="1" applyAlignment="1">
      <alignment horizontal="right" vertical="center" wrapText="1"/>
    </xf>
    <xf numFmtId="9" fontId="13" fillId="11" borderId="19" xfId="0" applyNumberFormat="1" applyFont="1" applyFill="1" applyBorder="1" applyAlignment="1">
      <alignment horizontal="right" vertical="center" wrapText="1"/>
    </xf>
    <xf numFmtId="0" fontId="16" fillId="14" borderId="21" xfId="0" applyFont="1" applyFill="1" applyBorder="1" applyAlignment="1">
      <alignment horizontal="right" vertical="center" wrapText="1"/>
    </xf>
    <xf numFmtId="0" fontId="16" fillId="15" borderId="21" xfId="0" applyFont="1" applyFill="1" applyBorder="1" applyAlignment="1">
      <alignment horizontal="right" vertical="center" wrapText="1"/>
    </xf>
    <xf numFmtId="0" fontId="16" fillId="5" borderId="20" xfId="0" applyFont="1" applyFill="1" applyBorder="1" applyAlignment="1">
      <alignment horizontal="right" vertical="center" wrapText="1"/>
    </xf>
    <xf numFmtId="0" fontId="16" fillId="5" borderId="21" xfId="0" applyFont="1" applyFill="1" applyBorder="1" applyAlignment="1">
      <alignment horizontal="right" vertical="center" wrapText="1"/>
    </xf>
    <xf numFmtId="9" fontId="13" fillId="16" borderId="20" xfId="0" applyNumberFormat="1" applyFont="1" applyFill="1" applyBorder="1" applyAlignment="1">
      <alignment horizontal="right" vertical="center" wrapText="1"/>
    </xf>
    <xf numFmtId="0" fontId="16" fillId="15" borderId="20" xfId="0" applyFont="1" applyFill="1" applyBorder="1" applyAlignment="1">
      <alignment horizontal="right" vertical="center" wrapText="1"/>
    </xf>
    <xf numFmtId="9" fontId="13" fillId="17" borderId="20" xfId="0" applyNumberFormat="1" applyFont="1" applyFill="1" applyBorder="1" applyAlignment="1">
      <alignment horizontal="right" vertical="center" wrapText="1"/>
    </xf>
    <xf numFmtId="9" fontId="13" fillId="17" borderId="19" xfId="0" applyNumberFormat="1" applyFont="1" applyFill="1" applyBorder="1" applyAlignment="1">
      <alignment horizontal="right" vertical="center" wrapText="1"/>
    </xf>
    <xf numFmtId="9" fontId="13" fillId="10" borderId="20" xfId="0" applyNumberFormat="1" applyFont="1" applyFill="1" applyBorder="1" applyAlignment="1">
      <alignment horizontal="right" vertical="center" wrapText="1"/>
    </xf>
    <xf numFmtId="9" fontId="13" fillId="10" borderId="19" xfId="0" applyNumberFormat="1" applyFont="1" applyFill="1" applyBorder="1" applyAlignment="1">
      <alignment horizontal="right" vertical="center" wrapText="1"/>
    </xf>
    <xf numFmtId="0" fontId="7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horizontal="left" vertical="top" wrapText="1"/>
    </xf>
    <xf numFmtId="0" fontId="9" fillId="5" borderId="0" xfId="0" applyFont="1" applyFill="1" applyAlignment="1">
      <alignment vertical="center" wrapText="1"/>
    </xf>
    <xf numFmtId="0" fontId="10" fillId="5" borderId="0" xfId="0" applyFont="1" applyFill="1" applyAlignment="1">
      <alignment vertical="center"/>
    </xf>
    <xf numFmtId="0" fontId="12" fillId="5" borderId="0" xfId="0" applyFont="1" applyFill="1" applyAlignment="1">
      <alignment vertical="center" wrapText="1"/>
    </xf>
    <xf numFmtId="0" fontId="16" fillId="5" borderId="23" xfId="0" applyFont="1" applyFill="1" applyBorder="1" applyAlignment="1">
      <alignment horizontal="right" vertical="center" wrapText="1"/>
    </xf>
    <xf numFmtId="0" fontId="16" fillId="5" borderId="0" xfId="0" applyFont="1" applyFill="1" applyAlignment="1">
      <alignment horizontal="right" vertical="center" wrapText="1"/>
    </xf>
    <xf numFmtId="0" fontId="16" fillId="5" borderId="24" xfId="0" applyFont="1" applyFill="1" applyBorder="1" applyAlignment="1">
      <alignment horizontal="right" vertical="center" wrapText="1"/>
    </xf>
    <xf numFmtId="0" fontId="17" fillId="5" borderId="0" xfId="0" applyFont="1" applyFill="1" applyAlignment="1">
      <alignment horizontal="center" wrapText="1"/>
    </xf>
    <xf numFmtId="0" fontId="18" fillId="5" borderId="0" xfId="0" applyFont="1" applyFill="1" applyAlignment="1">
      <alignment horizontal="left" wrapText="1"/>
    </xf>
    <xf numFmtId="0" fontId="17" fillId="5" borderId="0" xfId="0" applyFont="1" applyFill="1" applyAlignment="1">
      <alignment horizontal="left" vertical="center" wrapText="1"/>
    </xf>
    <xf numFmtId="0" fontId="17" fillId="5" borderId="0" xfId="0" applyFont="1" applyFill="1" applyAlignment="1">
      <alignment horizontal="left" wrapText="1"/>
    </xf>
    <xf numFmtId="0" fontId="18" fillId="5" borderId="0" xfId="0" applyFont="1" applyFill="1" applyAlignment="1">
      <alignment horizontal="right" wrapText="1"/>
    </xf>
    <xf numFmtId="0" fontId="18" fillId="5" borderId="0" xfId="0" applyFont="1" applyFill="1" applyAlignment="1">
      <alignment horizontal="center" vertical="center" wrapText="1"/>
    </xf>
    <xf numFmtId="9" fontId="13" fillId="18" borderId="21" xfId="0" applyNumberFormat="1" applyFont="1" applyFill="1" applyBorder="1" applyAlignment="1">
      <alignment horizontal="right" vertical="center" wrapText="1"/>
    </xf>
    <xf numFmtId="9" fontId="13" fillId="19" borderId="19" xfId="0" applyNumberFormat="1" applyFont="1" applyFill="1" applyBorder="1" applyAlignment="1">
      <alignment horizontal="right" vertical="center" wrapText="1"/>
    </xf>
    <xf numFmtId="9" fontId="13" fillId="20" borderId="19" xfId="0" applyNumberFormat="1" applyFont="1" applyFill="1" applyBorder="1" applyAlignment="1">
      <alignment horizontal="right" vertical="center" wrapText="1"/>
    </xf>
    <xf numFmtId="9" fontId="13" fillId="21" borderId="21" xfId="0" applyNumberFormat="1" applyFont="1" applyFill="1" applyBorder="1" applyAlignment="1">
      <alignment horizontal="right" vertical="center" wrapText="1"/>
    </xf>
    <xf numFmtId="9" fontId="13" fillId="22" borderId="21" xfId="0" applyNumberFormat="1" applyFont="1" applyFill="1" applyBorder="1" applyAlignment="1">
      <alignment horizontal="right" vertical="center" wrapText="1"/>
    </xf>
    <xf numFmtId="9" fontId="13" fillId="23" borderId="19" xfId="0" applyNumberFormat="1" applyFont="1" applyFill="1" applyBorder="1" applyAlignment="1">
      <alignment horizontal="right" vertical="center" wrapText="1"/>
    </xf>
    <xf numFmtId="9" fontId="13" fillId="24" borderId="21" xfId="0" applyNumberFormat="1" applyFont="1" applyFill="1" applyBorder="1" applyAlignment="1">
      <alignment horizontal="right" vertical="center" wrapText="1"/>
    </xf>
    <xf numFmtId="9" fontId="13" fillId="25" borderId="20" xfId="0" applyNumberFormat="1" applyFont="1" applyFill="1" applyBorder="1" applyAlignment="1">
      <alignment horizontal="right" vertical="center" wrapText="1"/>
    </xf>
    <xf numFmtId="9" fontId="13" fillId="26" borderId="19" xfId="0" applyNumberFormat="1" applyFont="1" applyFill="1" applyBorder="1" applyAlignment="1">
      <alignment horizontal="right" vertical="center" wrapText="1"/>
    </xf>
    <xf numFmtId="9" fontId="13" fillId="27" borderId="21" xfId="0" applyNumberFormat="1" applyFont="1" applyFill="1" applyBorder="1" applyAlignment="1">
      <alignment horizontal="right" vertical="center" wrapText="1"/>
    </xf>
    <xf numFmtId="9" fontId="13" fillId="28" borderId="20" xfId="0" applyNumberFormat="1" applyFont="1" applyFill="1" applyBorder="1" applyAlignment="1">
      <alignment horizontal="right" vertical="center" wrapText="1"/>
    </xf>
    <xf numFmtId="9" fontId="13" fillId="29" borderId="19" xfId="0" applyNumberFormat="1" applyFont="1" applyFill="1" applyBorder="1" applyAlignment="1">
      <alignment horizontal="right" vertical="center" wrapText="1"/>
    </xf>
    <xf numFmtId="9" fontId="13" fillId="8" borderId="19" xfId="0" applyNumberFormat="1" applyFont="1" applyFill="1" applyBorder="1" applyAlignment="1">
      <alignment horizontal="right" vertical="center" wrapText="1"/>
    </xf>
    <xf numFmtId="9" fontId="13" fillId="30" borderId="21" xfId="0" applyNumberFormat="1" applyFont="1" applyFill="1" applyBorder="1" applyAlignment="1">
      <alignment horizontal="right" vertical="center" wrapText="1"/>
    </xf>
    <xf numFmtId="9" fontId="13" fillId="19" borderId="20" xfId="0" applyNumberFormat="1" applyFont="1" applyFill="1" applyBorder="1" applyAlignment="1">
      <alignment horizontal="right" vertical="center" wrapText="1"/>
    </xf>
    <xf numFmtId="9" fontId="13" fillId="31" borderId="19" xfId="0" applyNumberFormat="1" applyFont="1" applyFill="1" applyBorder="1" applyAlignment="1">
      <alignment horizontal="right" vertical="center" wrapText="1"/>
    </xf>
    <xf numFmtId="9" fontId="13" fillId="32" borderId="21" xfId="0" applyNumberFormat="1" applyFont="1" applyFill="1" applyBorder="1" applyAlignment="1">
      <alignment horizontal="right" vertical="center" wrapText="1"/>
    </xf>
    <xf numFmtId="9" fontId="13" fillId="33" borderId="20" xfId="0" applyNumberFormat="1" applyFont="1" applyFill="1" applyBorder="1" applyAlignment="1">
      <alignment horizontal="right" vertical="center" wrapText="1"/>
    </xf>
    <xf numFmtId="9" fontId="13" fillId="30" borderId="19" xfId="0" applyNumberFormat="1" applyFont="1" applyFill="1" applyBorder="1" applyAlignment="1">
      <alignment horizontal="right" vertical="center" wrapText="1"/>
    </xf>
    <xf numFmtId="0" fontId="16" fillId="11" borderId="21" xfId="0" applyFont="1" applyFill="1" applyBorder="1" applyAlignment="1">
      <alignment horizontal="right" vertical="center" wrapText="1"/>
    </xf>
    <xf numFmtId="9" fontId="13" fillId="34" borderId="19" xfId="0" applyNumberFormat="1" applyFont="1" applyFill="1" applyBorder="1" applyAlignment="1">
      <alignment horizontal="right" vertical="center" wrapText="1"/>
    </xf>
    <xf numFmtId="9" fontId="13" fillId="35" borderId="19" xfId="0" applyNumberFormat="1" applyFont="1" applyFill="1" applyBorder="1" applyAlignment="1">
      <alignment horizontal="right" vertical="center" wrapText="1"/>
    </xf>
    <xf numFmtId="9" fontId="13" fillId="36" borderId="20" xfId="0" applyNumberFormat="1" applyFont="1" applyFill="1" applyBorder="1" applyAlignment="1">
      <alignment horizontal="right" vertical="center" wrapText="1"/>
    </xf>
    <xf numFmtId="9" fontId="13" fillId="37" borderId="19" xfId="0" applyNumberFormat="1" applyFont="1" applyFill="1" applyBorder="1" applyAlignment="1">
      <alignment horizontal="right" vertical="center" wrapText="1"/>
    </xf>
    <xf numFmtId="9" fontId="13" fillId="38" borderId="21" xfId="0" applyNumberFormat="1" applyFont="1" applyFill="1" applyBorder="1" applyAlignment="1">
      <alignment horizontal="right" vertical="center" wrapText="1"/>
    </xf>
    <xf numFmtId="9" fontId="13" fillId="39" borderId="20" xfId="0" applyNumberFormat="1" applyFont="1" applyFill="1" applyBorder="1" applyAlignment="1">
      <alignment horizontal="right" vertical="center" wrapText="1"/>
    </xf>
    <xf numFmtId="9" fontId="13" fillId="13" borderId="20" xfId="0" applyNumberFormat="1" applyFont="1" applyFill="1" applyBorder="1" applyAlignment="1">
      <alignment horizontal="right" vertical="center" wrapText="1"/>
    </xf>
    <xf numFmtId="9" fontId="13" fillId="40" borderId="20" xfId="0" applyNumberFormat="1" applyFont="1" applyFill="1" applyBorder="1" applyAlignment="1">
      <alignment horizontal="right" vertical="center" wrapText="1"/>
    </xf>
    <xf numFmtId="9" fontId="13" fillId="41" borderId="20" xfId="0" applyNumberFormat="1" applyFont="1" applyFill="1" applyBorder="1" applyAlignment="1">
      <alignment horizontal="right" vertical="center" wrapText="1"/>
    </xf>
    <xf numFmtId="9" fontId="13" fillId="41" borderId="19" xfId="0" applyNumberFormat="1" applyFont="1" applyFill="1" applyBorder="1" applyAlignment="1">
      <alignment horizontal="right" vertical="center" wrapText="1"/>
    </xf>
    <xf numFmtId="9" fontId="13" fillId="42" borderId="20" xfId="0" applyNumberFormat="1" applyFont="1" applyFill="1" applyBorder="1" applyAlignment="1">
      <alignment horizontal="right" vertical="center" wrapText="1"/>
    </xf>
    <xf numFmtId="9" fontId="13" fillId="42" borderId="19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right"/>
    </xf>
    <xf numFmtId="0" fontId="17" fillId="5" borderId="25" xfId="0" applyFont="1" applyFill="1" applyBorder="1" applyAlignment="1">
      <alignment horizontal="center" wrapText="1"/>
    </xf>
    <xf numFmtId="0" fontId="17" fillId="5" borderId="28" xfId="0" applyFont="1" applyFill="1" applyBorder="1" applyAlignment="1">
      <alignment horizontal="center" wrapText="1"/>
    </xf>
    <xf numFmtId="0" fontId="17" fillId="5" borderId="26" xfId="0" applyFont="1" applyFill="1" applyBorder="1" applyAlignment="1">
      <alignment horizontal="center" wrapText="1"/>
    </xf>
    <xf numFmtId="0" fontId="17" fillId="5" borderId="29" xfId="0" applyFont="1" applyFill="1" applyBorder="1" applyAlignment="1">
      <alignment horizontal="center" wrapText="1"/>
    </xf>
    <xf numFmtId="0" fontId="18" fillId="5" borderId="27" xfId="0" applyFont="1" applyFill="1" applyBorder="1" applyAlignment="1">
      <alignment horizontal="left" wrapText="1"/>
    </xf>
    <xf numFmtId="0" fontId="18" fillId="5" borderId="0" xfId="0" applyFont="1" applyFill="1" applyAlignment="1">
      <alignment horizontal="left" wrapText="1"/>
    </xf>
  </cellXfs>
  <cellStyles count="1"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23</xdr:row>
          <xdr:rowOff>66675</xdr:rowOff>
        </xdr:from>
        <xdr:to>
          <xdr:col>3</xdr:col>
          <xdr:colOff>657225</xdr:colOff>
          <xdr:row>24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266700</xdr:colOff>
      <xdr:row>3</xdr:row>
      <xdr:rowOff>266700</xdr:rowOff>
    </xdr:to>
    <xdr:pic>
      <xdr:nvPicPr>
        <xdr:cNvPr id="66" name="Picture 65" descr="KC-logo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6858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266700</xdr:colOff>
      <xdr:row>4</xdr:row>
      <xdr:rowOff>266700</xdr:rowOff>
    </xdr:to>
    <xdr:pic>
      <xdr:nvPicPr>
        <xdr:cNvPr id="67" name="Picture 66" descr="NO-logo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0763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266700</xdr:colOff>
      <xdr:row>6</xdr:row>
      <xdr:rowOff>47625</xdr:rowOff>
    </xdr:to>
    <xdr:pic>
      <xdr:nvPicPr>
        <xdr:cNvPr id="68" name="Picture 67" descr="BUF-logo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4668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266700</xdr:colOff>
      <xdr:row>6</xdr:row>
      <xdr:rowOff>266700</xdr:rowOff>
    </xdr:to>
    <xdr:pic>
      <xdr:nvPicPr>
        <xdr:cNvPr id="69" name="Picture 68" descr="GB-logo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6859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266700</xdr:colOff>
      <xdr:row>7</xdr:row>
      <xdr:rowOff>266700</xdr:rowOff>
    </xdr:to>
    <xdr:pic>
      <xdr:nvPicPr>
        <xdr:cNvPr id="70" name="Picture 69" descr="BAL-logo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20764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266700</xdr:colOff>
      <xdr:row>8</xdr:row>
      <xdr:rowOff>266700</xdr:rowOff>
    </xdr:to>
    <xdr:pic>
      <xdr:nvPicPr>
        <xdr:cNvPr id="71" name="Picture 70" descr="PIT-logo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24669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266700</xdr:colOff>
      <xdr:row>9</xdr:row>
      <xdr:rowOff>266700</xdr:rowOff>
    </xdr:to>
    <xdr:pic>
      <xdr:nvPicPr>
        <xdr:cNvPr id="72" name="Picture 71" descr="IND-logo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28575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266700</xdr:colOff>
      <xdr:row>10</xdr:row>
      <xdr:rowOff>266700</xdr:rowOff>
    </xdr:to>
    <xdr:pic>
      <xdr:nvPicPr>
        <xdr:cNvPr id="73" name="Picture 72" descr="TB-logo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32480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266700</xdr:colOff>
      <xdr:row>11</xdr:row>
      <xdr:rowOff>266700</xdr:rowOff>
    </xdr:to>
    <xdr:pic>
      <xdr:nvPicPr>
        <xdr:cNvPr id="74" name="Picture 73" descr="TEN-logo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36385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266700</xdr:colOff>
      <xdr:row>12</xdr:row>
      <xdr:rowOff>266700</xdr:rowOff>
    </xdr:to>
    <xdr:pic>
      <xdr:nvPicPr>
        <xdr:cNvPr id="75" name="Picture 74" descr="CLE-logo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40290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266700</xdr:colOff>
      <xdr:row>13</xdr:row>
      <xdr:rowOff>266700</xdr:rowOff>
    </xdr:to>
    <xdr:pic>
      <xdr:nvPicPr>
        <xdr:cNvPr id="76" name="Picture 75" descr="SEA-logo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44196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266700</xdr:colOff>
      <xdr:row>14</xdr:row>
      <xdr:rowOff>266700</xdr:rowOff>
    </xdr:to>
    <xdr:pic>
      <xdr:nvPicPr>
        <xdr:cNvPr id="77" name="Picture 76" descr="LAR-logo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48101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266700</xdr:colOff>
      <xdr:row>15</xdr:row>
      <xdr:rowOff>266700</xdr:rowOff>
    </xdr:to>
    <xdr:pic>
      <xdr:nvPicPr>
        <xdr:cNvPr id="78" name="Picture 77" descr="ARI-logo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52006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266700</xdr:colOff>
      <xdr:row>17</xdr:row>
      <xdr:rowOff>47625</xdr:rowOff>
    </xdr:to>
    <xdr:pic>
      <xdr:nvPicPr>
        <xdr:cNvPr id="79" name="Picture 78" descr="MIA-logo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55911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266700</xdr:colOff>
      <xdr:row>17</xdr:row>
      <xdr:rowOff>266700</xdr:rowOff>
    </xdr:to>
    <xdr:pic>
      <xdr:nvPicPr>
        <xdr:cNvPr id="80" name="Picture 79" descr="CHI-logo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58102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266700</xdr:colOff>
      <xdr:row>19</xdr:row>
      <xdr:rowOff>47625</xdr:rowOff>
    </xdr:to>
    <xdr:pic>
      <xdr:nvPicPr>
        <xdr:cNvPr id="81" name="Picture 80" descr="NE-logo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62007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266700</xdr:colOff>
      <xdr:row>19</xdr:row>
      <xdr:rowOff>266700</xdr:rowOff>
    </xdr:to>
    <xdr:pic>
      <xdr:nvPicPr>
        <xdr:cNvPr id="82" name="Picture 81" descr="MIN-logo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64198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266700</xdr:colOff>
      <xdr:row>21</xdr:row>
      <xdr:rowOff>47625</xdr:rowOff>
    </xdr:to>
    <xdr:pic>
      <xdr:nvPicPr>
        <xdr:cNvPr id="83" name="Picture 82" descr="WSH-logo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68103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266700</xdr:colOff>
      <xdr:row>21</xdr:row>
      <xdr:rowOff>266700</xdr:rowOff>
    </xdr:to>
    <xdr:pic>
      <xdr:nvPicPr>
        <xdr:cNvPr id="84" name="Picture 83" descr="SF-logo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70294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266700</xdr:colOff>
      <xdr:row>22</xdr:row>
      <xdr:rowOff>266700</xdr:rowOff>
    </xdr:to>
    <xdr:pic>
      <xdr:nvPicPr>
        <xdr:cNvPr id="85" name="Picture 84" descr="DEN-logo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74199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266700</xdr:colOff>
      <xdr:row>23</xdr:row>
      <xdr:rowOff>266700</xdr:rowOff>
    </xdr:to>
    <xdr:pic>
      <xdr:nvPicPr>
        <xdr:cNvPr id="86" name="Picture 85" descr="OAK-logo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78105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266700</xdr:colOff>
      <xdr:row>24</xdr:row>
      <xdr:rowOff>266700</xdr:rowOff>
    </xdr:to>
    <xdr:pic>
      <xdr:nvPicPr>
        <xdr:cNvPr id="87" name="Picture 86" descr="ATL-logo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82010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266700</xdr:colOff>
      <xdr:row>26</xdr:row>
      <xdr:rowOff>47625</xdr:rowOff>
    </xdr:to>
    <xdr:pic>
      <xdr:nvPicPr>
        <xdr:cNvPr id="88" name="Picture 87" descr="PHI-logo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85915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266700</xdr:colOff>
      <xdr:row>26</xdr:row>
      <xdr:rowOff>266700</xdr:rowOff>
    </xdr:to>
    <xdr:pic>
      <xdr:nvPicPr>
        <xdr:cNvPr id="89" name="Picture 88" descr="CAR-logo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88106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266700</xdr:colOff>
      <xdr:row>27</xdr:row>
      <xdr:rowOff>266700</xdr:rowOff>
    </xdr:to>
    <xdr:pic>
      <xdr:nvPicPr>
        <xdr:cNvPr id="90" name="Picture 89" descr="LAC-logo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92011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266700</xdr:colOff>
      <xdr:row>28</xdr:row>
      <xdr:rowOff>266700</xdr:rowOff>
    </xdr:to>
    <xdr:pic>
      <xdr:nvPicPr>
        <xdr:cNvPr id="91" name="Picture 90" descr="HOU-logo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95916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266700</xdr:colOff>
      <xdr:row>30</xdr:row>
      <xdr:rowOff>47625</xdr:rowOff>
    </xdr:to>
    <xdr:pic>
      <xdr:nvPicPr>
        <xdr:cNvPr id="92" name="Picture 91" descr="DAL-logo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99822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266700</xdr:colOff>
      <xdr:row>31</xdr:row>
      <xdr:rowOff>47625</xdr:rowOff>
    </xdr:to>
    <xdr:pic>
      <xdr:nvPicPr>
        <xdr:cNvPr id="93" name="Picture 92" descr="NYG-logo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02012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266700</xdr:colOff>
      <xdr:row>31</xdr:row>
      <xdr:rowOff>266700</xdr:rowOff>
    </xdr:to>
    <xdr:pic>
      <xdr:nvPicPr>
        <xdr:cNvPr id="94" name="Picture 93" descr="DET-logo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04203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266700</xdr:colOff>
      <xdr:row>32</xdr:row>
      <xdr:rowOff>266700</xdr:rowOff>
    </xdr:to>
    <xdr:pic>
      <xdr:nvPicPr>
        <xdr:cNvPr id="95" name="Picture 94" descr="JAX-logo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08108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266700</xdr:colOff>
      <xdr:row>34</xdr:row>
      <xdr:rowOff>47625</xdr:rowOff>
    </xdr:to>
    <xdr:pic>
      <xdr:nvPicPr>
        <xdr:cNvPr id="96" name="Picture 95" descr="NYJ-logo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12014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266700</xdr:colOff>
      <xdr:row>34</xdr:row>
      <xdr:rowOff>266700</xdr:rowOff>
    </xdr:to>
    <xdr:pic>
      <xdr:nvPicPr>
        <xdr:cNvPr id="97" name="Picture 96" descr="CIN-logo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114204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andings?year=season_2012&amp;type=regular" refreshOnLoad="1" connectionId="1" xr16:uid="{00000000-0016-0000-0300-000001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O11" totalsRowShown="0" headerRowDxfId="72" dataDxfId="70" headerRowBorderDxfId="71" tableBorderDxfId="69">
  <autoFilter ref="B1:O11" xr:uid="{00000000-0009-0000-0100-000001000000}"/>
  <sortState xmlns:xlrd2="http://schemas.microsoft.com/office/spreadsheetml/2017/richdata2" ref="B2:O11">
    <sortCondition descending="1" ref="I2:I11"/>
    <sortCondition descending="1" ref="J2:J11"/>
    <sortCondition descending="1" ref="K2:K11"/>
    <sortCondition descending="1" ref="L2:L11"/>
    <sortCondition descending="1" ref="M2:M11"/>
    <sortCondition descending="1" ref="N2:N11"/>
    <sortCondition descending="1" ref="O2:O11"/>
  </sortState>
  <tableColumns count="14">
    <tableColumn id="1" xr3:uid="{00000000-0010-0000-0000-000001000000}" name="o" dataDxfId="68"/>
    <tableColumn id="2" xr3:uid="{00000000-0010-0000-0000-000002000000}" name="Team 1" dataDxfId="67"/>
    <tableColumn id="3" xr3:uid="{00000000-0010-0000-0000-000003000000}" name="Team 1 Wins" dataDxfId="66">
      <calculatedColumnFormula>VLOOKUP(INDEX('FoxSports Standings'!$A$1:$A$502,MATCH("*"&amp;C2&amp;"*",'FoxSports Standings'!$A$1:$A$502,0)),'FoxSports Standings'!$A$1:$O$474,2,FALSE)</calculatedColumnFormula>
    </tableColumn>
    <tableColumn id="4" xr3:uid="{00000000-0010-0000-0000-000004000000}" name="Team 2" dataDxfId="65"/>
    <tableColumn id="5" xr3:uid="{00000000-0010-0000-0000-000005000000}" name="Team 2 Wins" dataDxfId="64">
      <calculatedColumnFormula>VLOOKUP(INDEX('FoxSports Standings'!$A$1:$A$502,MATCH("*"&amp;E2&amp;"*",'FoxSports Standings'!$A$1:$A$502,0)),'FoxSports Standings'!$A$1:$O$474,2,FALSE)</calculatedColumnFormula>
    </tableColumn>
    <tableColumn id="6" xr3:uid="{00000000-0010-0000-0000-000006000000}" name="Team 3" dataDxfId="63"/>
    <tableColumn id="7" xr3:uid="{00000000-0010-0000-0000-000007000000}" name="Team 3 Wins" dataDxfId="62">
      <calculatedColumnFormula>VLOOKUP(INDEX('FoxSports Standings'!$A$1:$A$502,MATCH("*"&amp;G2&amp;"*",'FoxSports Standings'!$A$1:$A$502,0)),'FoxSports Standings'!$A$1:$O$474,2,FALSE)</calculatedColumnFormula>
    </tableColumn>
    <tableColumn id="8" xr3:uid="{00000000-0010-0000-0000-000008000000}" name="Total Wins" dataDxfId="61">
      <calculatedColumnFormula>D2+F2+H2</calculatedColumnFormula>
    </tableColumn>
    <tableColumn id="9" xr3:uid="{00000000-0010-0000-0000-000009000000}" name="Tiebreaker 1" dataDxfId="60">
      <calculatedColumnFormula>SMALL($C2:$H2,1)</calculatedColumnFormula>
    </tableColumn>
    <tableColumn id="10" xr3:uid="{00000000-0010-0000-0000-00000A000000}" name="Tiebreaker 2" dataDxfId="59">
      <calculatedColumnFormula>SMALL($C2:$H2,2)</calculatedColumnFormula>
    </tableColumn>
    <tableColumn id="11" xr3:uid="{00000000-0010-0000-0000-00000B000000}" name="Tiebreaker 3" dataDxfId="58">
      <calculatedColumnFormula>SMALL($C2:$H2,3)</calculatedColumnFormula>
    </tableColumn>
    <tableColumn id="12" xr3:uid="{00000000-0010-0000-0000-00000C000000}" name="Tiebreaker 4" dataDxfId="57">
      <calculatedColumnFormula>VLOOKUP(CONCATENATE("*",INDEX($C2:$I2, MATCH(SMALL($C2:$I2,1),$C2:$I2,0)-1),"*"),'FoxSports Standings'!$A$1:$O483,8,FALSE)</calculatedColumnFormula>
    </tableColumn>
    <tableColumn id="13" xr3:uid="{00000000-0010-0000-0000-00000D000000}" name="Tiebreaker 5" dataDxfId="56">
      <calculatedColumnFormula>VLOOKUP(CONCATENATE("*",INDEX($C2:$I2, MATCH(SMALL($C2:$I2,2),$C2:$I2,0)-1),"*"),'FoxSports Standings'!$A$1:$O483,8,FALSE)</calculatedColumnFormula>
    </tableColumn>
    <tableColumn id="14" xr3:uid="{00000000-0010-0000-0000-00000E000000}" name="Tiebreaker 6" dataDxfId="55">
      <calculatedColumnFormula>VLOOKUP(CONCATENATE("*",INDEX($C2:$I2, MATCH(SMALL($C2:$I2,3),$C2:$I2,0)-1),"*"),'FoxSports Standings'!$A$1:$O483,8,FALSE)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0F8A6D-E675-4F68-A47E-8B477BF7F5CF}" name="Table2" displayName="Table2" ref="A1:B11" totalsRowShown="0">
  <autoFilter ref="A1:B11" xr:uid="{F436CC82-F76F-4DE7-BA00-706B506012C4}"/>
  <tableColumns count="2">
    <tableColumn id="1" xr3:uid="{60CCEF48-A573-4EC9-9164-DBDFE3E72627}" name="Who"/>
    <tableColumn id="2" xr3:uid="{28331A8D-2259-4AD3-B208-FCCD1EBBAC38}" name="Paid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I12" totalsRowShown="0" headerRowDxfId="10" dataDxfId="9">
  <autoFilter ref="A1:I12" xr:uid="{00000000-0009-0000-0100-000003000000}"/>
  <tableColumns count="9">
    <tableColumn id="1" xr3:uid="{00000000-0010-0000-0100-000001000000}" name="Name" dataDxfId="8"/>
    <tableColumn id="2" xr3:uid="{00000000-0010-0000-0100-000002000000}" name="TableName" dataDxfId="7"/>
    <tableColumn id="3" xr3:uid="{00000000-0010-0000-0100-000003000000}" name="Team 1" dataDxfId="6"/>
    <tableColumn id="7" xr3:uid="{00000000-0010-0000-0100-000007000000}" name="1Proj Wins" dataDxfId="5"/>
    <tableColumn id="4" xr3:uid="{00000000-0010-0000-0100-000004000000}" name="Team 2" dataDxfId="4"/>
    <tableColumn id="8" xr3:uid="{00000000-0010-0000-0100-000008000000}" name="2Proj Wins" dataDxfId="3"/>
    <tableColumn id="5" xr3:uid="{00000000-0010-0000-0100-000005000000}" name="Team 3" dataDxfId="2"/>
    <tableColumn id="9" xr3:uid="{00000000-0010-0000-0100-000009000000}" name="3Proj Wins" dataDxfId="1"/>
    <tableColumn id="6" xr3:uid="{00000000-0010-0000-0100-000006000000}" name="Proje Wi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22"/>
  <sheetViews>
    <sheetView tabSelected="1" workbookViewId="0">
      <selection activeCell="B1" sqref="B1:O11"/>
    </sheetView>
  </sheetViews>
  <sheetFormatPr defaultColWidth="7" defaultRowHeight="15"/>
  <cols>
    <col min="1" max="1" width="5.28515625" style="9" bestFit="1" customWidth="1"/>
    <col min="2" max="2" width="11.7109375" style="9" bestFit="1" customWidth="1"/>
    <col min="3" max="3" width="21.140625" style="9" bestFit="1" customWidth="1"/>
    <col min="4" max="4" width="18.5703125" style="9" customWidth="1"/>
    <col min="5" max="5" width="25" style="9" bestFit="1" customWidth="1"/>
    <col min="6" max="6" width="18.5703125" style="9" bestFit="1" customWidth="1"/>
    <col min="7" max="7" width="18.7109375" style="9" bestFit="1" customWidth="1"/>
    <col min="8" max="8" width="20" style="9" bestFit="1" customWidth="1"/>
    <col min="9" max="9" width="15.42578125" style="9" bestFit="1" customWidth="1"/>
    <col min="10" max="10" width="15" style="9" customWidth="1"/>
    <col min="11" max="14" width="14.28515625" style="9" bestFit="1" customWidth="1"/>
    <col min="15" max="15" width="13.5703125" style="9" bestFit="1" customWidth="1"/>
    <col min="16" max="16384" width="7" style="9"/>
  </cols>
  <sheetData>
    <row r="1" spans="1:15" ht="19.5" thickBot="1">
      <c r="A1" s="5" t="s">
        <v>11</v>
      </c>
      <c r="B1" s="6" t="s">
        <v>313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6" t="s">
        <v>9</v>
      </c>
      <c r="I1" s="7" t="s">
        <v>10</v>
      </c>
      <c r="J1" s="6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8" t="s">
        <v>17</v>
      </c>
    </row>
    <row r="2" spans="1:15" ht="18.75">
      <c r="A2" s="10">
        <f t="shared" ref="A2:A11" si="0">RANK(I2,$I$2:$I$11,0)</f>
        <v>1</v>
      </c>
      <c r="B2" s="11" t="s">
        <v>25</v>
      </c>
      <c r="C2" s="11" t="str">
        <f>VLOOKUP($B2,Table3[[#All],[TableName]:[Team 3]],2,FALSE)</f>
        <v>Los Angeles Chargers</v>
      </c>
      <c r="D2" s="14">
        <f>VLOOKUP(INDEX('FoxSports Standings'!$A$1:$A$502,MATCH("*"&amp;C2&amp;"*",'FoxSports Standings'!$A$1:$A$502,0)),'FoxSports Standings'!$A$1:$O$474,2,FALSE)</f>
        <v>8</v>
      </c>
      <c r="E2" s="11" t="str">
        <f>VLOOKUP($B2,Table3[[#All],[TableName]:[Team 3]],4,FALSE)</f>
        <v>Washington Football Team</v>
      </c>
      <c r="F2" s="14">
        <f>VLOOKUP(INDEX('FoxSports Standings'!$A$1:$A$502,MATCH("*"&amp;E2&amp;"*",'FoxSports Standings'!$A$1:$A$502,0)),'FoxSports Standings'!$A$1:$O$474,2,FALSE)</f>
        <v>6</v>
      </c>
      <c r="G2" s="11" t="str">
        <f>VLOOKUP($B2,Table3[[#All],[TableName]:[Team 3]],6,FALSE)</f>
        <v>Arizona Cardinals</v>
      </c>
      <c r="H2" s="14">
        <f>VLOOKUP(INDEX('FoxSports Standings'!$A$1:$A$502,MATCH("*"&amp;G2&amp;"*",'FoxSports Standings'!$A$1:$A$502,0)),'FoxSports Standings'!$A$1:$O$474,2,FALSE)</f>
        <v>10</v>
      </c>
      <c r="I2" s="12">
        <f>D2+F2+H2</f>
        <v>24</v>
      </c>
      <c r="J2" s="11">
        <f>SMALL($C2:$H2,1)</f>
        <v>6</v>
      </c>
      <c r="K2" s="11">
        <f>SMALL($C2:$H2,2)</f>
        <v>8</v>
      </c>
      <c r="L2" s="11">
        <f>SMALL($C2:$H2,3)</f>
        <v>10</v>
      </c>
      <c r="M2" s="11">
        <f>VLOOKUP(CONCATENATE("*",INDEX($C2:$I2, MATCH(SMALL($C2:$I2,1),$C2:$I2,0)-1),"*"),'FoxSports Standings'!$A$1:$O483,8,FALSE)</f>
        <v>-58</v>
      </c>
      <c r="N2" s="11">
        <f>VLOOKUP(CONCATENATE("*",INDEX($C2:$I2, MATCH(SMALL($C2:$I2,2),$C2:$I2,0)-1),"*"),'FoxSports Standings'!$A$1:$O483,8,FALSE)</f>
        <v>15</v>
      </c>
      <c r="O2" s="11">
        <f>VLOOKUP(CONCATENATE("*",INDEX($C2:$I2, MATCH(SMALL($C2:$I2,3),$C2:$I2,0)-1),"*"),'FoxSports Standings'!$A$1:$O483,8,FALSE)</f>
        <v>112</v>
      </c>
    </row>
    <row r="3" spans="1:15" ht="18.75">
      <c r="A3" s="13">
        <f t="shared" si="0"/>
        <v>2</v>
      </c>
      <c r="B3" s="14" t="s">
        <v>29</v>
      </c>
      <c r="C3" s="14" t="str">
        <f>VLOOKUP($B3,Table3[[#All],[TableName]:[Team 3]],2,FALSE)</f>
        <v>Green Bay Packers</v>
      </c>
      <c r="D3" s="14">
        <f>VLOOKUP(INDEX('FoxSports Standings'!$A$1:$A$502,MATCH("*"&amp;C3&amp;"*",'FoxSports Standings'!$A$1:$A$502,0)),'FoxSports Standings'!$A$1:$O$474,2,FALSE)</f>
        <v>10</v>
      </c>
      <c r="E3" s="14" t="str">
        <f>VLOOKUP($B3,Table3[[#All],[TableName]:[Team 3]],4,FALSE)</f>
        <v>Pittsburgh Steelers</v>
      </c>
      <c r="F3" s="14">
        <f>VLOOKUP(INDEX('FoxSports Standings'!$A$1:$A$502,MATCH("*"&amp;E3&amp;"*",'FoxSports Standings'!$A$1:$A$502,0)),'FoxSports Standings'!$A$1:$O$474,2,FALSE)</f>
        <v>6</v>
      </c>
      <c r="G3" s="14" t="str">
        <f>VLOOKUP($B3,Table3[[#All],[TableName]:[Team 3]],6,FALSE)</f>
        <v>Las Vegas Raiders</v>
      </c>
      <c r="H3" s="14">
        <f>VLOOKUP(INDEX('FoxSports Standings'!$A$1:$A$502,MATCH("*"&amp;G3&amp;"*",'FoxSports Standings'!$A$1:$A$502,0)),'FoxSports Standings'!$A$1:$O$474,2,FALSE)</f>
        <v>6</v>
      </c>
      <c r="I3" s="15">
        <f>D3+F3+H3</f>
        <v>22</v>
      </c>
      <c r="J3" s="14">
        <f>SMALL($C3:$H3,1)</f>
        <v>6</v>
      </c>
      <c r="K3" s="14">
        <f>SMALL($C3:$H3,2)</f>
        <v>6</v>
      </c>
      <c r="L3" s="14">
        <f>SMALL($C3:$H3,3)</f>
        <v>10</v>
      </c>
      <c r="M3" s="14">
        <f>VLOOKUP(CONCATENATE("*",INDEX($C3:$I3, MATCH(SMALL($C3:$I3,1),$C3:$I3,0)-1),"*"),'FoxSports Standings'!$A$1:$O484,8,FALSE)</f>
        <v>-50</v>
      </c>
      <c r="N3" s="14">
        <f>VLOOKUP(CONCATENATE("*",INDEX($C3:$I3, MATCH(SMALL($C3:$I3,2),$C3:$I3,0)-1),"*"),'FoxSports Standings'!$A$1:$O484,8,FALSE)</f>
        <v>-50</v>
      </c>
      <c r="O3" s="14">
        <f>VLOOKUP(CONCATENATE("*",INDEX($C3:$I3, MATCH(SMALL($C3:$I3,3),$C3:$I3,0)-1),"*"),'FoxSports Standings'!$A$1:$O484,8,FALSE)</f>
        <v>56</v>
      </c>
    </row>
    <row r="4" spans="1:15" ht="18.75">
      <c r="A4" s="16">
        <f t="shared" si="0"/>
        <v>3</v>
      </c>
      <c r="B4" s="14" t="s">
        <v>31</v>
      </c>
      <c r="C4" s="14" t="str">
        <f>VLOOKUP($B4,Table3[[#All],[TableName]:[Team 3]],2,FALSE)</f>
        <v>Cleveland Browns</v>
      </c>
      <c r="D4" s="14">
        <f>VLOOKUP(INDEX('FoxSports Standings'!$A$1:$A$502,MATCH("*"&amp;C4&amp;"*",'FoxSports Standings'!$A$1:$A$502,0)),'FoxSports Standings'!$A$1:$O$474,2,FALSE)</f>
        <v>7</v>
      </c>
      <c r="E4" s="17" t="str">
        <f>VLOOKUP($B4,Table3[[#All],[TableName]:[Team 3]],4,FALSE)</f>
        <v>Baltimore Ravens</v>
      </c>
      <c r="F4" s="14">
        <f>VLOOKUP(INDEX('FoxSports Standings'!$A$1:$A$502,MATCH("*"&amp;E4&amp;"*",'FoxSports Standings'!$A$1:$A$502,0)),'FoxSports Standings'!$A$1:$O$474,2,FALSE)</f>
        <v>8</v>
      </c>
      <c r="G4" s="17" t="str">
        <f>VLOOKUP($B4,Table3[[#All],[TableName]:[Team 3]],6,FALSE)</f>
        <v>Atlanta Falcons</v>
      </c>
      <c r="H4" s="14">
        <f>VLOOKUP(INDEX('FoxSports Standings'!$A$1:$A$502,MATCH("*"&amp;G4&amp;"*",'FoxSports Standings'!$A$1:$A$502,0)),'FoxSports Standings'!$A$1:$O$474,2,FALSE)</f>
        <v>6</v>
      </c>
      <c r="I4" s="18">
        <f>D4+F4+H4</f>
        <v>21</v>
      </c>
      <c r="J4" s="17">
        <f>SMALL($C4:$H4,1)</f>
        <v>6</v>
      </c>
      <c r="K4" s="17">
        <f>SMALL($C4:$H4,2)</f>
        <v>7</v>
      </c>
      <c r="L4" s="17">
        <f>SMALL($C4:$H4,3)</f>
        <v>8</v>
      </c>
      <c r="M4" s="17">
        <f>VLOOKUP(CONCATENATE("*",INDEX($C4:$I4, MATCH(SMALL($C4:$I4,1),$C4:$I4,0)-1),"*"),'FoxSports Standings'!$A$1:$O485,8,FALSE)</f>
        <v>-108</v>
      </c>
      <c r="N4" s="17">
        <f>VLOOKUP(CONCATENATE("*",INDEX($C4:$I4, MATCH(SMALL($C4:$I4,2),$C4:$I4,0)-1),"*"),'FoxSports Standings'!$A$1:$O485,8,FALSE)</f>
        <v>-11</v>
      </c>
      <c r="O4" s="17">
        <f>VLOOKUP(CONCATENATE("*",INDEX($C4:$I4, MATCH(SMALL($C4:$I4,3),$C4:$I4,0)-1),"*"),'FoxSports Standings'!$A$1:$O485,8,FALSE)</f>
        <v>20</v>
      </c>
    </row>
    <row r="5" spans="1:15" ht="18.75">
      <c r="A5" s="13">
        <f t="shared" si="0"/>
        <v>3</v>
      </c>
      <c r="B5" s="14" t="s">
        <v>26</v>
      </c>
      <c r="C5" s="14" t="str">
        <f>VLOOKUP($B5,Table3[[#All],[TableName]:[Team 3]],2,FALSE)</f>
        <v>Los Angeles Rams</v>
      </c>
      <c r="D5" s="14">
        <f>VLOOKUP(INDEX('FoxSports Standings'!$A$1:$A$502,MATCH("*"&amp;C5&amp;"*",'FoxSports Standings'!$A$1:$A$502,0)),'FoxSports Standings'!$A$1:$O$474,2,FALSE)</f>
        <v>9</v>
      </c>
      <c r="E5" s="19" t="str">
        <f>VLOOKUP($B5,Table3[[#All],[TableName]:[Team 3]],4,FALSE)</f>
        <v>New Orleans Saints</v>
      </c>
      <c r="F5" s="14">
        <f>VLOOKUP(INDEX('FoxSports Standings'!$A$1:$A$502,MATCH("*"&amp;E5&amp;"*",'FoxSports Standings'!$A$1:$A$502,0)),'FoxSports Standings'!$A$1:$O$474,2,FALSE)</f>
        <v>6</v>
      </c>
      <c r="G5" s="19" t="str">
        <f>VLOOKUP($B5,Table3[[#All],[TableName]:[Team 3]],6,FALSE)</f>
        <v>Philadelphia Eagles</v>
      </c>
      <c r="H5" s="14">
        <f>VLOOKUP(INDEX('FoxSports Standings'!$A$1:$A$502,MATCH("*"&amp;G5&amp;"*",'FoxSports Standings'!$A$1:$A$502,0)),'FoxSports Standings'!$A$1:$O$474,2,FALSE)</f>
        <v>6</v>
      </c>
      <c r="I5" s="20">
        <f>D5+F5+H5</f>
        <v>21</v>
      </c>
      <c r="J5" s="19">
        <f>SMALL($C5:$H5,1)</f>
        <v>6</v>
      </c>
      <c r="K5" s="19">
        <f>SMALL($C5:$H5,2)</f>
        <v>6</v>
      </c>
      <c r="L5" s="19">
        <f>SMALL($C5:$H5,3)</f>
        <v>9</v>
      </c>
      <c r="M5" s="19">
        <f>VLOOKUP(CONCATENATE("*",INDEX($C5:$I5, MATCH(SMALL($C5:$I5,1),$C5:$I5,0)-1),"*"),'FoxSports Standings'!$A$1:$O486,8,FALSE)</f>
        <v>19</v>
      </c>
      <c r="N5" s="19">
        <f>VLOOKUP(CONCATENATE("*",INDEX($C5:$I5, MATCH(SMALL($C5:$I5,2),$C5:$I5,0)-1),"*"),'FoxSports Standings'!$A$1:$O486,8,FALSE)</f>
        <v>19</v>
      </c>
      <c r="O5" s="19">
        <f>VLOOKUP(CONCATENATE("*",INDEX($C5:$I5, MATCH(SMALL($C5:$I5,3),$C5:$I5,0)-1),"*"),'FoxSports Standings'!$A$1:$O486,8,FALSE)</f>
        <v>73</v>
      </c>
    </row>
    <row r="6" spans="1:15" ht="18.75">
      <c r="A6" s="16">
        <f t="shared" si="0"/>
        <v>5</v>
      </c>
      <c r="B6" s="14" t="s">
        <v>28</v>
      </c>
      <c r="C6" s="14" t="str">
        <f>VLOOKUP($B6,Table3[[#All],[TableName]:[Team 3]],2,FALSE)</f>
        <v>Tampa Bay Buccaneers</v>
      </c>
      <c r="D6" s="14">
        <f>VLOOKUP(INDEX('FoxSports Standings'!$A$1:$A$502,MATCH("*"&amp;C6&amp;"*",'FoxSports Standings'!$A$1:$A$502,0)),'FoxSports Standings'!$A$1:$O$474,2,FALSE)</f>
        <v>10</v>
      </c>
      <c r="E6" s="22" t="str">
        <f>VLOOKUP($B6,Table3[[#All],[TableName]:[Team 3]],4,FALSE)</f>
        <v>Indianapolis Colts</v>
      </c>
      <c r="F6" s="14">
        <f>VLOOKUP(INDEX('FoxSports Standings'!$A$1:$A$502,MATCH("*"&amp;E6&amp;"*",'FoxSports Standings'!$A$1:$A$502,0)),'FoxSports Standings'!$A$1:$O$474,2,FALSE)</f>
        <v>7</v>
      </c>
      <c r="G6" s="22" t="str">
        <f>VLOOKUP($B6,Table3[[#All],[TableName]:[Team 3]],6,FALSE)</f>
        <v>New York Jets</v>
      </c>
      <c r="H6" s="14">
        <f>VLOOKUP(INDEX('FoxSports Standings'!$A$1:$A$502,MATCH("*"&amp;G6&amp;"*",'FoxSports Standings'!$A$1:$A$502,0)),'FoxSports Standings'!$A$1:$O$474,2,FALSE)</f>
        <v>3</v>
      </c>
      <c r="I6" s="23">
        <f>D6+F6+H6</f>
        <v>20</v>
      </c>
      <c r="J6" s="22">
        <f>SMALL($C6:$H6,1)</f>
        <v>3</v>
      </c>
      <c r="K6" s="22">
        <f>SMALL($C6:$H6,2)</f>
        <v>7</v>
      </c>
      <c r="L6" s="22">
        <f>SMALL($C6:$H6,3)</f>
        <v>10</v>
      </c>
      <c r="M6" s="22">
        <f>VLOOKUP(CONCATENATE("*",INDEX($C6:$I6, MATCH(SMALL($C6:$I6,1),$C6:$I6,0)-1),"*"),'FoxSports Standings'!$A$1:$O488,8,FALSE)</f>
        <v>-171</v>
      </c>
      <c r="N6" s="22">
        <f>VLOOKUP(CONCATENATE("*",INDEX($C6:$I6, MATCH(SMALL($C6:$I6,2),$C6:$I6,0)-1),"*"),'FoxSports Standings'!$A$1:$O488,8,FALSE)</f>
        <v>88</v>
      </c>
      <c r="O6" s="22">
        <f>VLOOKUP(CONCATENATE("*",INDEX($C6:$I6, MATCH(SMALL($C6:$I6,3),$C6:$I6,0)-1),"*"),'FoxSports Standings'!$A$1:$O488,8,FALSE)</f>
        <v>113</v>
      </c>
    </row>
    <row r="7" spans="1:15" ht="18.75">
      <c r="A7" s="13">
        <f t="shared" si="0"/>
        <v>6</v>
      </c>
      <c r="B7" s="14" t="s">
        <v>27</v>
      </c>
      <c r="C7" s="14" t="str">
        <f>VLOOKUP($B7,Table3[[#All],[TableName]:[Team 3]],2,FALSE)</f>
        <v>Tennessee Titans</v>
      </c>
      <c r="D7" s="14">
        <f>VLOOKUP(INDEX('FoxSports Standings'!$A$1:$A$502,MATCH("*"&amp;C7&amp;"*",'FoxSports Standings'!$A$1:$A$502,0)),'FoxSports Standings'!$A$1:$O$474,2,FALSE)</f>
        <v>9</v>
      </c>
      <c r="E7" s="21" t="str">
        <f>VLOOKUP($B7,Table3[[#All],[TableName]:[Team 3]],4,FALSE)</f>
        <v>Seattle Seahawks</v>
      </c>
      <c r="F7" s="14">
        <f>VLOOKUP(INDEX('FoxSports Standings'!$A$1:$A$502,MATCH("*"&amp;E7&amp;"*",'FoxSports Standings'!$A$1:$A$502,0)),'FoxSports Standings'!$A$1:$O$474,2,FALSE)</f>
        <v>5</v>
      </c>
      <c r="G7" s="21" t="str">
        <f>VLOOKUP($B7,Table3[[#All],[TableName]:[Team 3]],6,FALSE)</f>
        <v>Carolina Panthers</v>
      </c>
      <c r="H7" s="14">
        <f>VLOOKUP(INDEX('FoxSports Standings'!$A$1:$A$502,MATCH("*"&amp;G7&amp;"*",'FoxSports Standings'!$A$1:$A$502,0)),'FoxSports Standings'!$A$1:$O$474,2,FALSE)</f>
        <v>5</v>
      </c>
      <c r="I7" s="15">
        <f>D7+F7+H7</f>
        <v>19</v>
      </c>
      <c r="J7" s="14">
        <f>SMALL($C7:$H7,1)</f>
        <v>5</v>
      </c>
      <c r="K7" s="14">
        <f>SMALL($C7:$H7,2)</f>
        <v>5</v>
      </c>
      <c r="L7" s="14">
        <f>SMALL($C7:$H7,3)</f>
        <v>9</v>
      </c>
      <c r="M7" s="14">
        <f>VLOOKUP(CONCATENATE("*",INDEX($C7:$I7, MATCH(SMALL($C7:$I7,1),$C7:$I7,0)-1),"*"),'FoxSports Standings'!$A$1:$O489,8,FALSE)</f>
        <v>10</v>
      </c>
      <c r="N7" s="14">
        <f>VLOOKUP(CONCATENATE("*",INDEX($C7:$I7, MATCH(SMALL($C7:$I7,2),$C7:$I7,0)-1),"*"),'FoxSports Standings'!$A$1:$O489,8,FALSE)</f>
        <v>10</v>
      </c>
      <c r="O7" s="14">
        <f>VLOOKUP(CONCATENATE("*",INDEX($C7:$I7, MATCH(SMALL($C7:$I7,3),$C7:$I7,0)-1),"*"),'FoxSports Standings'!$A$1:$O489,8,FALSE)</f>
        <v>34</v>
      </c>
    </row>
    <row r="8" spans="1:15" ht="18.75">
      <c r="A8" s="16">
        <f t="shared" si="0"/>
        <v>6</v>
      </c>
      <c r="B8" s="14" t="s">
        <v>111</v>
      </c>
      <c r="C8" s="14" t="str">
        <f>VLOOKUP($B8,Table3[[#All],[TableName]:[Team 3]],2,FALSE)</f>
        <v>New England Patriots</v>
      </c>
      <c r="D8" s="14">
        <f>VLOOKUP(INDEX('FoxSports Standings'!$A$1:$A$502,MATCH("*"&amp;C8&amp;"*",'FoxSports Standings'!$A$1:$A$502,0)),'FoxSports Standings'!$A$1:$O$474,2,FALSE)</f>
        <v>9</v>
      </c>
      <c r="E8" s="22" t="str">
        <f>VLOOKUP($B8,Table3[[#All],[TableName]:[Team 3]],4,FALSE)</f>
        <v>Minnesota Vikings</v>
      </c>
      <c r="F8" s="14">
        <f>VLOOKUP(INDEX('FoxSports Standings'!$A$1:$A$502,MATCH("*"&amp;E8&amp;"*",'FoxSports Standings'!$A$1:$A$502,0)),'FoxSports Standings'!$A$1:$O$474,2,FALSE)</f>
        <v>6</v>
      </c>
      <c r="G8" s="22" t="str">
        <f>VLOOKUP($B8,Table3[[#All],[TableName]:[Team 3]],6,FALSE)</f>
        <v>New York Giants</v>
      </c>
      <c r="H8" s="14">
        <f>VLOOKUP(INDEX('FoxSports Standings'!$A$1:$A$502,MATCH("*"&amp;G8&amp;"*",'FoxSports Standings'!$A$1:$A$502,0)),'FoxSports Standings'!$A$1:$O$474,2,FALSE)</f>
        <v>4</v>
      </c>
      <c r="I8" s="24">
        <f>D8+F8+H8</f>
        <v>19</v>
      </c>
      <c r="J8" s="14">
        <f>SMALL($C8:$H8,1)</f>
        <v>4</v>
      </c>
      <c r="K8" s="14">
        <f>SMALL($C8:$H8,2)</f>
        <v>6</v>
      </c>
      <c r="L8" s="14">
        <f>SMALL($C8:$H8,3)</f>
        <v>9</v>
      </c>
      <c r="M8" s="14">
        <f>VLOOKUP(CONCATENATE("*",INDEX($C8:$I8, MATCH(SMALL($C8:$I8,1),$C8:$I8,0)-1),"*"),'FoxSports Standings'!$A$1:$O487,8,FALSE)</f>
        <v>-78</v>
      </c>
      <c r="N8" s="14">
        <f>VLOOKUP(CONCATENATE("*",INDEX($C8:$I8, MATCH(SMALL($C8:$I8,2),$C8:$I8,0)-1),"*"),'FoxSports Standings'!$A$1:$O487,8,FALSE)</f>
        <v>11</v>
      </c>
      <c r="O8" s="14">
        <f>VLOOKUP(CONCATENATE("*",INDEX($C8:$I8, MATCH(SMALL($C8:$I8,3),$C8:$I8,0)-1),"*"),'FoxSports Standings'!$A$1:$O487,8,FALSE)</f>
        <v>150</v>
      </c>
    </row>
    <row r="9" spans="1:15" ht="18.75">
      <c r="A9" s="13">
        <f t="shared" si="0"/>
        <v>8</v>
      </c>
      <c r="B9" s="14" t="s">
        <v>30</v>
      </c>
      <c r="C9" s="14" t="str">
        <f>VLOOKUP($B9,Table3[[#All],[TableName]:[Team 3]],2,FALSE)</f>
        <v>Buffalo Bills</v>
      </c>
      <c r="D9" s="14">
        <f>VLOOKUP(INDEX('FoxSports Standings'!$A$1:$A$502,MATCH("*"&amp;C9&amp;"*",'FoxSports Standings'!$A$1:$A$502,0)),'FoxSports Standings'!$A$1:$O$474,2,FALSE)</f>
        <v>7</v>
      </c>
      <c r="E9" s="21" t="str">
        <f>VLOOKUP($B9,Table3[[#All],[TableName]:[Team 3]],4,FALSE)</f>
        <v>Dallas Cowboys</v>
      </c>
      <c r="F9" s="14">
        <f>VLOOKUP(INDEX('FoxSports Standings'!$A$1:$A$502,MATCH("*"&amp;E9&amp;"*",'FoxSports Standings'!$A$1:$A$502,0)),'FoxSports Standings'!$A$1:$O$474,2,FALSE)</f>
        <v>9</v>
      </c>
      <c r="G9" s="21" t="str">
        <f>VLOOKUP($B9,Table3[[#All],[TableName]:[Team 3]],6,FALSE)</f>
        <v>Jacksonville Jaguars</v>
      </c>
      <c r="H9" s="14">
        <f>VLOOKUP(INDEX('FoxSports Standings'!$A$1:$A$502,MATCH("*"&amp;G9&amp;"*",'FoxSports Standings'!$A$1:$A$502,0)),'FoxSports Standings'!$A$1:$O$474,2,FALSE)</f>
        <v>2</v>
      </c>
      <c r="I9" s="25">
        <f>D9+F9+H9</f>
        <v>18</v>
      </c>
      <c r="J9" s="21">
        <f>SMALL($C9:$H9,1)</f>
        <v>2</v>
      </c>
      <c r="K9" s="21">
        <f>SMALL($C9:$H9,2)</f>
        <v>7</v>
      </c>
      <c r="L9" s="21">
        <f>SMALL($C9:$H9,3)</f>
        <v>9</v>
      </c>
      <c r="M9" s="21">
        <f>VLOOKUP(CONCATENATE("*",INDEX($C9:$I9, MATCH(SMALL($C9:$I9,1),$C9:$I9,0)-1),"*"),'FoxSports Standings'!$A$1:$O490,8,FALSE)</f>
        <v>-160</v>
      </c>
      <c r="N9" s="21">
        <f>VLOOKUP(CONCATENATE("*",INDEX($C9:$I9, MATCH(SMALL($C9:$I9,2),$C9:$I9,0)-1),"*"),'FoxSports Standings'!$A$1:$O490,8,FALSE)</f>
        <v>134</v>
      </c>
      <c r="O9" s="21">
        <f>VLOOKUP(CONCATENATE("*",INDEX($C9:$I9, MATCH(SMALL($C9:$I9,3),$C9:$I9,0)-1),"*"),'FoxSports Standings'!$A$1:$O490,8,FALSE)</f>
        <v>93</v>
      </c>
    </row>
    <row r="10" spans="1:15" ht="18.75">
      <c r="A10" s="16">
        <f t="shared" si="0"/>
        <v>9</v>
      </c>
      <c r="B10" s="14" t="s">
        <v>24</v>
      </c>
      <c r="C10" s="14" t="str">
        <f>VLOOKUP($B10,Table3[[#All],[TableName]:[Team 3]],2,FALSE)</f>
        <v>San Francisco 49ers</v>
      </c>
      <c r="D10" s="14">
        <f>VLOOKUP(INDEX('FoxSports Standings'!$A$1:$A$502,MATCH("*"&amp;C10&amp;"*",'FoxSports Standings'!$A$1:$A$502,0)),'FoxSports Standings'!$A$1:$O$474,2,FALSE)</f>
        <v>7</v>
      </c>
      <c r="E10" s="22" t="str">
        <f>VLOOKUP($B10,Table3[[#All],[TableName]:[Team 3]],4,FALSE)</f>
        <v>Miami Dolphins</v>
      </c>
      <c r="F10" s="14">
        <f>VLOOKUP(INDEX('FoxSports Standings'!$A$1:$A$502,MATCH("*"&amp;E10&amp;"*",'FoxSports Standings'!$A$1:$A$502,0)),'FoxSports Standings'!$A$1:$O$474,2,FALSE)</f>
        <v>6</v>
      </c>
      <c r="G10" s="22" t="str">
        <f>VLOOKUP($B10,Table3[[#All],[TableName]:[Team 3]],6,FALSE)</f>
        <v>Chicago Bears</v>
      </c>
      <c r="H10" s="14">
        <f>VLOOKUP(INDEX('FoxSports Standings'!$A$1:$A$502,MATCH("*"&amp;G10&amp;"*",'FoxSports Standings'!$A$1:$A$502,0)),'FoxSports Standings'!$A$1:$O$474,2,FALSE)</f>
        <v>4</v>
      </c>
      <c r="I10" s="23">
        <f>D10+F10+H10</f>
        <v>17</v>
      </c>
      <c r="J10" s="22">
        <f>SMALL($C10:$H10,1)</f>
        <v>4</v>
      </c>
      <c r="K10" s="22">
        <f>SMALL($C10:$H10,2)</f>
        <v>6</v>
      </c>
      <c r="L10" s="22">
        <f>SMALL($C10:$H10,3)</f>
        <v>7</v>
      </c>
      <c r="M10" s="22">
        <f>VLOOKUP(CONCATENATE("*",INDEX($C10:$I10, MATCH(SMALL($C10:$I10,1),$C10:$I10,0)-1),"*"),'FoxSports Standings'!$A$1:$O491,8,FALSE)</f>
        <v>-101</v>
      </c>
      <c r="N10" s="22">
        <f>VLOOKUP(CONCATENATE("*",INDEX($C10:$I10, MATCH(SMALL($C10:$I10,2),$C10:$I10,0)-1),"*"),'FoxSports Standings'!$A$1:$O491,8,FALSE)</f>
        <v>-34</v>
      </c>
      <c r="O10" s="22">
        <f>VLOOKUP(CONCATENATE("*",INDEX($C10:$I10, MATCH(SMALL($C10:$I10,3),$C10:$I10,0)-1),"*"),'FoxSports Standings'!$A$1:$O491,8,FALSE)</f>
        <v>28</v>
      </c>
    </row>
    <row r="11" spans="1:15" ht="19.5" thickBot="1">
      <c r="A11" s="26">
        <f t="shared" si="0"/>
        <v>9</v>
      </c>
      <c r="B11" s="17" t="s">
        <v>119</v>
      </c>
      <c r="C11" s="17" t="str">
        <f>VLOOKUP($B11,Table3[[#All],[TableName]:[Team 3]],2,FALSE)</f>
        <v>Kansas City Chiefs</v>
      </c>
      <c r="D11" s="14">
        <f>VLOOKUP(INDEX('FoxSports Standings'!$A$1:$A$502,MATCH("*"&amp;C11&amp;"*",'FoxSports Standings'!$A$1:$A$502,0)),'FoxSports Standings'!$A$1:$O$474,2,FALSE)</f>
        <v>9</v>
      </c>
      <c r="E11" s="17" t="str">
        <f>VLOOKUP($B11,Table3[[#All],[TableName]:[Team 3]],4,FALSE)</f>
        <v>Denver Broncos</v>
      </c>
      <c r="F11" s="14">
        <f>VLOOKUP(INDEX('FoxSports Standings'!$A$1:$A$502,MATCH("*"&amp;E11&amp;"*",'FoxSports Standings'!$A$1:$A$502,0)),'FoxSports Standings'!$A$1:$O$474,2,FALSE)</f>
        <v>7</v>
      </c>
      <c r="G11" s="17" t="str">
        <f>VLOOKUP($B11,Table3[[#All],[TableName]:[Team 3]],6,FALSE)</f>
        <v>Detroit Lions</v>
      </c>
      <c r="H11" s="14">
        <f>VLOOKUP(INDEX('FoxSports Standings'!$A$1:$A$502,MATCH("*"&amp;G11&amp;"*",'FoxSports Standings'!$A$1:$A$502,0)),'FoxSports Standings'!$A$1:$O$474,2,FALSE)</f>
        <v>1</v>
      </c>
      <c r="I11" s="18">
        <f>D11+F11+H11</f>
        <v>17</v>
      </c>
      <c r="J11" s="17">
        <f>SMALL($C11:$H11,1)</f>
        <v>1</v>
      </c>
      <c r="K11" s="17">
        <f>SMALL($C11:$H11,2)</f>
        <v>7</v>
      </c>
      <c r="L11" s="17">
        <f>SMALL($C11:$H11,3)</f>
        <v>9</v>
      </c>
      <c r="M11" s="17">
        <f>VLOOKUP(CONCATENATE("*",INDEX($C11:$I11, MATCH(SMALL($C11:$I11,1),$C11:$I11,0)-1),"*"),'FoxSports Standings'!$A$1:$O492,8,FALSE)</f>
        <v>-141</v>
      </c>
      <c r="N11" s="17">
        <f>VLOOKUP(CONCATENATE("*",INDEX($C11:$I11, MATCH(SMALL($C11:$I11,2),$C11:$I11,0)-1),"*"),'FoxSports Standings'!$A$1:$O492,8,FALSE)</f>
        <v>47</v>
      </c>
      <c r="O11" s="17">
        <f>VLOOKUP(CONCATENATE("*",INDEX($C11:$I11, MATCH(SMALL($C11:$I11,3),$C11:$I11,0)-1),"*"),'FoxSports Standings'!$A$1:$O492,8,FALSE)</f>
        <v>83</v>
      </c>
    </row>
    <row r="12" spans="1:15" ht="15.75" thickBot="1"/>
    <row r="13" spans="1:15" ht="15.75" thickBot="1">
      <c r="B13" s="40" t="s">
        <v>277</v>
      </c>
      <c r="C13" s="41" t="str">
        <f>VLOOKUP($B13,Table3[[#All],[TableName]:[Team 3]],2,FALSE)</f>
        <v>Cincinnati Bengals</v>
      </c>
      <c r="D13" s="41">
        <f>VLOOKUP(INDEX('FoxSports Standings'!$A$1:$A$502,MATCH("*"&amp;C13&amp;"*",'FoxSports Standings'!$A$1:$A$502,0)),'FoxSports Standings'!$A$1:$O$474,2,FALSE)</f>
        <v>7</v>
      </c>
      <c r="E13" s="41" t="str">
        <f>VLOOKUP($B13,Table3[[#All],[TableName]:[Team 3]],4,FALSE)</f>
        <v>Houston Texans</v>
      </c>
      <c r="F13" s="42">
        <f>VLOOKUP(INDEX('FoxSports Standings'!$A$1:$A$502,MATCH("*"&amp;E13&amp;"*",'FoxSports Standings'!$A$1:$A$502,0)),'FoxSports Standings'!$A$1:$O$474,2,FALSE)</f>
        <v>2</v>
      </c>
    </row>
    <row r="17" spans="4:4">
      <c r="D17" s="27" t="s">
        <v>18</v>
      </c>
    </row>
    <row r="18" spans="4:4">
      <c r="D18" s="27" t="s">
        <v>19</v>
      </c>
    </row>
    <row r="19" spans="4:4">
      <c r="D19" s="27" t="s">
        <v>20</v>
      </c>
    </row>
    <row r="20" spans="4:4">
      <c r="D20" s="27" t="s">
        <v>21</v>
      </c>
    </row>
    <row r="21" spans="4:4">
      <c r="D21" s="27" t="s">
        <v>22</v>
      </c>
    </row>
    <row r="22" spans="4:4">
      <c r="D22" s="27" t="s">
        <v>23</v>
      </c>
    </row>
  </sheetData>
  <pageMargins left="0.7" right="0.7" top="0.75" bottom="0.75" header="0.3" footer="0.3"/>
  <pageSetup paperSize="5" scale="66" orientation="landscape" r:id="rId1"/>
  <headerFooter>
    <oddFooter>&amp;L&amp;D &amp;T&amp;C&amp;G&amp;RPage &amp;P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_xludf.Sort">
                <anchor moveWithCells="1" sizeWithCells="1">
                  <from>
                    <xdr:col>3</xdr:col>
                    <xdr:colOff>104775</xdr:colOff>
                    <xdr:row>23</xdr:row>
                    <xdr:rowOff>66675</xdr:rowOff>
                  </from>
                  <to>
                    <xdr:col>3</xdr:col>
                    <xdr:colOff>657225</xdr:colOff>
                    <xdr:row>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493" divId="Wins Pool-Fixed_5493" sourceType="printArea" destinationFile="C:\Users\Thomas Fischer\Documents\Gambling\Wins Pool-Fixed.html" title="Wins Pool" autoRepublish="1"/>
  </webPublishItem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33C4-DBF1-4B42-AF4B-078A7E376BB2}">
  <dimension ref="A1:BE14"/>
  <sheetViews>
    <sheetView workbookViewId="0">
      <selection activeCell="C6" sqref="C6"/>
    </sheetView>
  </sheetViews>
  <sheetFormatPr defaultRowHeight="15"/>
  <cols>
    <col min="1" max="1" width="10.42578125" bestFit="1" customWidth="1"/>
    <col min="2" max="2" width="13.140625" style="1" bestFit="1" customWidth="1"/>
    <col min="3" max="3" width="17.5703125" style="1" bestFit="1" customWidth="1"/>
    <col min="4" max="4" width="18.28515625" style="1" bestFit="1" customWidth="1"/>
    <col min="5" max="5" width="26.42578125" bestFit="1" customWidth="1"/>
    <col min="6" max="41" width="3.5703125" hidden="1" customWidth="1"/>
    <col min="42" max="57" width="4" bestFit="1" customWidth="1"/>
  </cols>
  <sheetData>
    <row r="1" spans="1:57" ht="30">
      <c r="A1" s="43" t="s">
        <v>416</v>
      </c>
      <c r="B1">
        <v>5</v>
      </c>
      <c r="C1">
        <f>B1*3</f>
        <v>15</v>
      </c>
    </row>
    <row r="3" spans="1:57">
      <c r="E3" t="str">
        <f>"Total Wins (in next "&amp;B1&amp;" weeks)"</f>
        <v>Total Wins (in next 5 weeks)</v>
      </c>
      <c r="F3" t="str">
        <f>IF(F4&gt;$C$1,"No","Yes")</f>
        <v>No</v>
      </c>
      <c r="G3" s="1" t="str">
        <f t="shared" ref="G3:BE3" si="0">IF(G4&gt;$C$1,"No","Yes")</f>
        <v>No</v>
      </c>
      <c r="H3" s="1" t="str">
        <f t="shared" si="0"/>
        <v>No</v>
      </c>
      <c r="I3" s="1" t="str">
        <f t="shared" si="0"/>
        <v>No</v>
      </c>
      <c r="J3" s="1" t="str">
        <f t="shared" si="0"/>
        <v>No</v>
      </c>
      <c r="K3" s="1" t="str">
        <f t="shared" si="0"/>
        <v>No</v>
      </c>
      <c r="L3" s="1" t="str">
        <f t="shared" si="0"/>
        <v>No</v>
      </c>
      <c r="M3" s="1" t="str">
        <f t="shared" si="0"/>
        <v>No</v>
      </c>
      <c r="N3" s="1" t="str">
        <f t="shared" si="0"/>
        <v>No</v>
      </c>
      <c r="O3" s="1" t="str">
        <f t="shared" si="0"/>
        <v>No</v>
      </c>
      <c r="P3" s="1" t="str">
        <f t="shared" si="0"/>
        <v>No</v>
      </c>
      <c r="Q3" s="1" t="str">
        <f t="shared" si="0"/>
        <v>No</v>
      </c>
      <c r="R3" s="1" t="str">
        <f t="shared" si="0"/>
        <v>No</v>
      </c>
      <c r="S3" s="1" t="str">
        <f t="shared" si="0"/>
        <v>No</v>
      </c>
      <c r="T3" s="1" t="str">
        <f t="shared" si="0"/>
        <v>No</v>
      </c>
      <c r="U3" s="1" t="str">
        <f t="shared" si="0"/>
        <v>No</v>
      </c>
      <c r="V3" s="1" t="str">
        <f t="shared" si="0"/>
        <v>No</v>
      </c>
      <c r="W3" s="1" t="str">
        <f t="shared" si="0"/>
        <v>No</v>
      </c>
      <c r="X3" s="1" t="str">
        <f t="shared" si="0"/>
        <v>No</v>
      </c>
      <c r="Y3" s="1" t="str">
        <f t="shared" si="0"/>
        <v>No</v>
      </c>
      <c r="Z3" s="1" t="str">
        <f t="shared" si="0"/>
        <v>No</v>
      </c>
      <c r="AA3" s="1" t="str">
        <f t="shared" si="0"/>
        <v>No</v>
      </c>
      <c r="AB3" s="1" t="str">
        <f t="shared" si="0"/>
        <v>No</v>
      </c>
      <c r="AC3" s="1" t="str">
        <f t="shared" si="0"/>
        <v>No</v>
      </c>
      <c r="AD3" s="1" t="str">
        <f t="shared" si="0"/>
        <v>No</v>
      </c>
      <c r="AE3" s="1" t="str">
        <f t="shared" si="0"/>
        <v>No</v>
      </c>
      <c r="AF3" s="1" t="str">
        <f t="shared" si="0"/>
        <v>No</v>
      </c>
      <c r="AG3" s="1" t="str">
        <f t="shared" si="0"/>
        <v>No</v>
      </c>
      <c r="AH3" s="1" t="str">
        <f t="shared" si="0"/>
        <v>No</v>
      </c>
      <c r="AI3" s="1" t="str">
        <f t="shared" si="0"/>
        <v>No</v>
      </c>
      <c r="AJ3" s="1" t="str">
        <f t="shared" si="0"/>
        <v>No</v>
      </c>
      <c r="AK3" s="1" t="str">
        <f t="shared" si="0"/>
        <v>No</v>
      </c>
      <c r="AL3" s="1" t="str">
        <f t="shared" si="0"/>
        <v>No</v>
      </c>
      <c r="AM3" s="1" t="str">
        <f t="shared" si="0"/>
        <v>No</v>
      </c>
      <c r="AN3" s="1" t="str">
        <f t="shared" si="0"/>
        <v>No</v>
      </c>
      <c r="AO3" s="1" t="str">
        <f t="shared" si="0"/>
        <v>No</v>
      </c>
      <c r="AP3" s="1" t="str">
        <f t="shared" si="0"/>
        <v>Yes</v>
      </c>
      <c r="AQ3" s="1" t="str">
        <f t="shared" si="0"/>
        <v>Yes</v>
      </c>
      <c r="AR3" s="1" t="str">
        <f t="shared" si="0"/>
        <v>Yes</v>
      </c>
      <c r="AS3" s="1" t="str">
        <f t="shared" si="0"/>
        <v>Yes</v>
      </c>
      <c r="AT3" s="1" t="str">
        <f t="shared" si="0"/>
        <v>Yes</v>
      </c>
      <c r="AU3" s="1" t="str">
        <f t="shared" si="0"/>
        <v>Yes</v>
      </c>
      <c r="AV3" s="1" t="str">
        <f t="shared" si="0"/>
        <v>Yes</v>
      </c>
      <c r="AW3" s="1" t="str">
        <f t="shared" si="0"/>
        <v>Yes</v>
      </c>
      <c r="AX3" s="1" t="str">
        <f t="shared" si="0"/>
        <v>Yes</v>
      </c>
      <c r="AY3" s="1" t="str">
        <f t="shared" si="0"/>
        <v>Yes</v>
      </c>
      <c r="AZ3" s="1" t="str">
        <f t="shared" si="0"/>
        <v>Yes</v>
      </c>
      <c r="BA3" s="1" t="str">
        <f t="shared" si="0"/>
        <v>Yes</v>
      </c>
      <c r="BB3" s="1" t="str">
        <f t="shared" si="0"/>
        <v>Yes</v>
      </c>
      <c r="BC3" s="1" t="str">
        <f t="shared" si="0"/>
        <v>Yes</v>
      </c>
      <c r="BD3" s="1" t="str">
        <f t="shared" si="0"/>
        <v>Yes</v>
      </c>
      <c r="BE3" s="1" t="str">
        <f t="shared" si="0"/>
        <v>Yes</v>
      </c>
    </row>
    <row r="4" spans="1:57">
      <c r="A4" t="s">
        <v>415</v>
      </c>
      <c r="B4" s="1" t="s">
        <v>419</v>
      </c>
      <c r="C4" t="s">
        <v>418</v>
      </c>
      <c r="D4" s="1" t="s">
        <v>417</v>
      </c>
      <c r="E4" t="s">
        <v>414</v>
      </c>
      <c r="F4" s="121">
        <v>51</v>
      </c>
      <c r="G4" s="121">
        <v>50</v>
      </c>
      <c r="H4" s="121">
        <v>49</v>
      </c>
      <c r="I4" s="121">
        <v>48</v>
      </c>
      <c r="J4" s="121">
        <v>47</v>
      </c>
      <c r="K4" s="121">
        <v>46</v>
      </c>
      <c r="L4" s="121">
        <v>45</v>
      </c>
      <c r="M4" s="121">
        <v>44</v>
      </c>
      <c r="N4" s="121">
        <v>43</v>
      </c>
      <c r="O4" s="121">
        <v>42</v>
      </c>
      <c r="P4" s="121">
        <v>41</v>
      </c>
      <c r="Q4" s="121">
        <v>40</v>
      </c>
      <c r="R4" s="121">
        <v>39</v>
      </c>
      <c r="S4" s="121">
        <v>38</v>
      </c>
      <c r="T4" s="121">
        <v>37</v>
      </c>
      <c r="U4" s="121">
        <v>36</v>
      </c>
      <c r="V4" s="121">
        <v>35</v>
      </c>
      <c r="W4" s="121">
        <v>34</v>
      </c>
      <c r="X4" s="121">
        <v>33</v>
      </c>
      <c r="Y4" s="121">
        <v>32</v>
      </c>
      <c r="Z4" s="121">
        <v>31</v>
      </c>
      <c r="AA4" s="121">
        <v>30</v>
      </c>
      <c r="AB4" s="121">
        <v>29</v>
      </c>
      <c r="AC4" s="121">
        <v>28</v>
      </c>
      <c r="AD4" s="121">
        <v>27</v>
      </c>
      <c r="AE4" s="121">
        <v>26</v>
      </c>
      <c r="AF4" s="121">
        <v>25</v>
      </c>
      <c r="AG4" s="121">
        <v>24</v>
      </c>
      <c r="AH4" s="121">
        <v>23</v>
      </c>
      <c r="AI4" s="121">
        <v>22</v>
      </c>
      <c r="AJ4" s="121">
        <v>21</v>
      </c>
      <c r="AK4" s="121">
        <v>20</v>
      </c>
      <c r="AL4" s="121">
        <v>19</v>
      </c>
      <c r="AM4" s="121">
        <v>18</v>
      </c>
      <c r="AN4" s="121">
        <v>17</v>
      </c>
      <c r="AO4" s="121">
        <v>16</v>
      </c>
      <c r="AP4" s="121">
        <v>15</v>
      </c>
      <c r="AQ4" s="121">
        <v>14</v>
      </c>
      <c r="AR4" s="121">
        <v>13</v>
      </c>
      <c r="AS4" s="121">
        <v>12</v>
      </c>
      <c r="AT4" s="121">
        <v>11</v>
      </c>
      <c r="AU4" s="121">
        <v>10</v>
      </c>
      <c r="AV4" s="121">
        <v>9</v>
      </c>
      <c r="AW4" s="121">
        <v>8</v>
      </c>
      <c r="AX4" s="121">
        <v>7</v>
      </c>
      <c r="AY4" s="121">
        <v>6</v>
      </c>
      <c r="AZ4" s="121">
        <v>5</v>
      </c>
      <c r="BA4" s="121">
        <v>4</v>
      </c>
      <c r="BB4" s="121">
        <v>3</v>
      </c>
      <c r="BC4" s="121">
        <v>2</v>
      </c>
      <c r="BD4" s="121">
        <v>1</v>
      </c>
      <c r="BE4" s="121">
        <v>0</v>
      </c>
    </row>
    <row r="5" spans="1:57">
      <c r="A5">
        <f>Standings!I2</f>
        <v>24</v>
      </c>
      <c r="B5" s="1" t="b">
        <f>OR(C5="Y",D5="Y")</f>
        <v>1</v>
      </c>
      <c r="C5" s="1" t="str">
        <f t="shared" ref="C5:C14" si="1">IF(MAX(F5:I5)&lt;$A$5,"N","Y")</f>
        <v>Y</v>
      </c>
      <c r="D5" s="1" t="str">
        <f t="shared" ref="D5:D14" si="2">IF(MAX(F5:I5)&lt;$A$6,"N","Y")</f>
        <v>Y</v>
      </c>
      <c r="E5" t="str">
        <f>Standings!B2</f>
        <v>Avallone</v>
      </c>
      <c r="F5" s="121">
        <f>$A5+F$4</f>
        <v>75</v>
      </c>
      <c r="G5" s="121">
        <f t="shared" ref="G5:V14" si="3">$A5+G$4</f>
        <v>74</v>
      </c>
      <c r="H5" s="121">
        <f t="shared" si="3"/>
        <v>73</v>
      </c>
      <c r="I5" s="121">
        <f t="shared" si="3"/>
        <v>72</v>
      </c>
      <c r="J5" s="121">
        <f t="shared" si="3"/>
        <v>71</v>
      </c>
      <c r="K5" s="121">
        <f t="shared" si="3"/>
        <v>70</v>
      </c>
      <c r="L5" s="121">
        <f t="shared" si="3"/>
        <v>69</v>
      </c>
      <c r="M5" s="121">
        <f t="shared" si="3"/>
        <v>68</v>
      </c>
      <c r="N5" s="121">
        <f t="shared" si="3"/>
        <v>67</v>
      </c>
      <c r="O5" s="121">
        <f t="shared" si="3"/>
        <v>66</v>
      </c>
      <c r="P5" s="121">
        <f t="shared" si="3"/>
        <v>65</v>
      </c>
      <c r="Q5" s="121">
        <f t="shared" si="3"/>
        <v>64</v>
      </c>
      <c r="R5" s="121">
        <f t="shared" si="3"/>
        <v>63</v>
      </c>
      <c r="S5" s="121">
        <f t="shared" si="3"/>
        <v>62</v>
      </c>
      <c r="T5" s="121">
        <f t="shared" si="3"/>
        <v>61</v>
      </c>
      <c r="U5" s="121">
        <f t="shared" si="3"/>
        <v>60</v>
      </c>
      <c r="V5" s="121">
        <f t="shared" si="3"/>
        <v>59</v>
      </c>
      <c r="W5" s="121">
        <f t="shared" ref="W5:BE12" si="4">$A5+W$4</f>
        <v>58</v>
      </c>
      <c r="X5" s="121">
        <f t="shared" si="4"/>
        <v>57</v>
      </c>
      <c r="Y5" s="121">
        <f t="shared" si="4"/>
        <v>56</v>
      </c>
      <c r="Z5" s="121">
        <f t="shared" si="4"/>
        <v>55</v>
      </c>
      <c r="AA5" s="121">
        <f t="shared" si="4"/>
        <v>54</v>
      </c>
      <c r="AB5" s="121">
        <f t="shared" si="4"/>
        <v>53</v>
      </c>
      <c r="AC5" s="121">
        <f t="shared" si="4"/>
        <v>52</v>
      </c>
      <c r="AD5" s="121">
        <f t="shared" si="4"/>
        <v>51</v>
      </c>
      <c r="AE5" s="121">
        <f t="shared" si="4"/>
        <v>50</v>
      </c>
      <c r="AF5" s="121">
        <f t="shared" si="4"/>
        <v>49</v>
      </c>
      <c r="AG5" s="121">
        <f t="shared" si="4"/>
        <v>48</v>
      </c>
      <c r="AH5" s="121">
        <f t="shared" si="4"/>
        <v>47</v>
      </c>
      <c r="AI5" s="121">
        <f t="shared" si="4"/>
        <v>46</v>
      </c>
      <c r="AJ5" s="121">
        <f t="shared" si="4"/>
        <v>45</v>
      </c>
      <c r="AK5" s="121">
        <f t="shared" si="4"/>
        <v>44</v>
      </c>
      <c r="AL5" s="121">
        <f t="shared" si="4"/>
        <v>43</v>
      </c>
      <c r="AM5" s="121">
        <f t="shared" si="4"/>
        <v>42</v>
      </c>
      <c r="AN5" s="121">
        <f t="shared" si="4"/>
        <v>41</v>
      </c>
      <c r="AO5" s="121">
        <f t="shared" si="4"/>
        <v>40</v>
      </c>
      <c r="AP5" s="121">
        <f t="shared" si="4"/>
        <v>39</v>
      </c>
      <c r="AQ5" s="121">
        <f t="shared" si="4"/>
        <v>38</v>
      </c>
      <c r="AR5" s="121">
        <f t="shared" si="4"/>
        <v>37</v>
      </c>
      <c r="AS5" s="121">
        <f t="shared" si="4"/>
        <v>36</v>
      </c>
      <c r="AT5" s="121">
        <f t="shared" si="4"/>
        <v>35</v>
      </c>
      <c r="AU5" s="121">
        <f t="shared" si="4"/>
        <v>34</v>
      </c>
      <c r="AV5" s="121">
        <f t="shared" si="4"/>
        <v>33</v>
      </c>
      <c r="AW5" s="121">
        <f t="shared" si="4"/>
        <v>32</v>
      </c>
      <c r="AX5" s="121">
        <f t="shared" si="4"/>
        <v>31</v>
      </c>
      <c r="AY5" s="121">
        <f t="shared" si="4"/>
        <v>30</v>
      </c>
      <c r="AZ5" s="121">
        <f t="shared" si="4"/>
        <v>29</v>
      </c>
      <c r="BA5" s="121">
        <f t="shared" si="4"/>
        <v>28</v>
      </c>
      <c r="BB5" s="121">
        <f t="shared" si="4"/>
        <v>27</v>
      </c>
      <c r="BC5" s="121">
        <f t="shared" si="4"/>
        <v>26</v>
      </c>
      <c r="BD5" s="121">
        <f t="shared" si="4"/>
        <v>25</v>
      </c>
      <c r="BE5" s="121">
        <f t="shared" si="4"/>
        <v>24</v>
      </c>
    </row>
    <row r="6" spans="1:57">
      <c r="A6" s="1">
        <f>Standings!I3</f>
        <v>22</v>
      </c>
      <c r="B6" s="1" t="b">
        <f t="shared" ref="B6:B14" si="5">OR(C6="Y",D6="Y")</f>
        <v>1</v>
      </c>
      <c r="C6" s="1" t="str">
        <f t="shared" si="1"/>
        <v>Y</v>
      </c>
      <c r="D6" s="1" t="str">
        <f t="shared" si="2"/>
        <v>Y</v>
      </c>
      <c r="E6" s="1" t="str">
        <f>Standings!B3</f>
        <v>BronBino</v>
      </c>
      <c r="F6" s="121">
        <f t="shared" ref="F6:F12" si="6">$A6+F$4</f>
        <v>73</v>
      </c>
      <c r="G6" s="121">
        <f t="shared" si="3"/>
        <v>72</v>
      </c>
      <c r="H6" s="121">
        <f t="shared" si="3"/>
        <v>71</v>
      </c>
      <c r="I6" s="121">
        <f t="shared" si="3"/>
        <v>70</v>
      </c>
      <c r="J6" s="121">
        <f t="shared" si="3"/>
        <v>69</v>
      </c>
      <c r="K6" s="121">
        <f t="shared" si="3"/>
        <v>68</v>
      </c>
      <c r="L6" s="121">
        <f t="shared" si="3"/>
        <v>67</v>
      </c>
      <c r="M6" s="121">
        <f t="shared" si="3"/>
        <v>66</v>
      </c>
      <c r="N6" s="121">
        <f t="shared" si="3"/>
        <v>65</v>
      </c>
      <c r="O6" s="121">
        <f t="shared" si="3"/>
        <v>64</v>
      </c>
      <c r="P6" s="121">
        <f t="shared" si="3"/>
        <v>63</v>
      </c>
      <c r="Q6" s="121">
        <f t="shared" si="3"/>
        <v>62</v>
      </c>
      <c r="R6" s="121">
        <f t="shared" si="3"/>
        <v>61</v>
      </c>
      <c r="S6" s="121">
        <f t="shared" si="3"/>
        <v>60</v>
      </c>
      <c r="T6" s="121">
        <f t="shared" si="3"/>
        <v>59</v>
      </c>
      <c r="U6" s="121">
        <f t="shared" si="3"/>
        <v>58</v>
      </c>
      <c r="V6" s="121">
        <f t="shared" si="3"/>
        <v>57</v>
      </c>
      <c r="W6" s="121">
        <f t="shared" si="4"/>
        <v>56</v>
      </c>
      <c r="X6" s="121">
        <f t="shared" si="4"/>
        <v>55</v>
      </c>
      <c r="Y6" s="121">
        <f t="shared" si="4"/>
        <v>54</v>
      </c>
      <c r="Z6" s="121">
        <f t="shared" si="4"/>
        <v>53</v>
      </c>
      <c r="AA6" s="121">
        <f t="shared" si="4"/>
        <v>52</v>
      </c>
      <c r="AB6" s="121">
        <f t="shared" si="4"/>
        <v>51</v>
      </c>
      <c r="AC6" s="121">
        <f t="shared" si="4"/>
        <v>50</v>
      </c>
      <c r="AD6" s="121">
        <f t="shared" si="4"/>
        <v>49</v>
      </c>
      <c r="AE6" s="121">
        <f t="shared" si="4"/>
        <v>48</v>
      </c>
      <c r="AF6" s="121">
        <f t="shared" si="4"/>
        <v>47</v>
      </c>
      <c r="AG6" s="121">
        <f t="shared" si="4"/>
        <v>46</v>
      </c>
      <c r="AH6" s="121">
        <f t="shared" si="4"/>
        <v>45</v>
      </c>
      <c r="AI6" s="121">
        <f t="shared" si="4"/>
        <v>44</v>
      </c>
      <c r="AJ6" s="121">
        <f t="shared" si="4"/>
        <v>43</v>
      </c>
      <c r="AK6" s="121">
        <f t="shared" si="4"/>
        <v>42</v>
      </c>
      <c r="AL6" s="121">
        <f t="shared" si="4"/>
        <v>41</v>
      </c>
      <c r="AM6" s="121">
        <f t="shared" si="4"/>
        <v>40</v>
      </c>
      <c r="AN6" s="121">
        <f t="shared" si="4"/>
        <v>39</v>
      </c>
      <c r="AO6" s="121">
        <f t="shared" si="4"/>
        <v>38</v>
      </c>
      <c r="AP6" s="121">
        <f t="shared" si="4"/>
        <v>37</v>
      </c>
      <c r="AQ6" s="121">
        <f t="shared" si="4"/>
        <v>36</v>
      </c>
      <c r="AR6" s="121">
        <f t="shared" si="4"/>
        <v>35</v>
      </c>
      <c r="AS6" s="121">
        <f t="shared" si="4"/>
        <v>34</v>
      </c>
      <c r="AT6" s="121">
        <f t="shared" si="4"/>
        <v>33</v>
      </c>
      <c r="AU6" s="121">
        <f t="shared" si="4"/>
        <v>32</v>
      </c>
      <c r="AV6" s="121">
        <f t="shared" si="4"/>
        <v>31</v>
      </c>
      <c r="AW6" s="121">
        <f t="shared" si="4"/>
        <v>30</v>
      </c>
      <c r="AX6" s="121">
        <f t="shared" si="4"/>
        <v>29</v>
      </c>
      <c r="AY6" s="121">
        <f t="shared" si="4"/>
        <v>28</v>
      </c>
      <c r="AZ6" s="121">
        <f t="shared" si="4"/>
        <v>27</v>
      </c>
      <c r="BA6" s="121">
        <f t="shared" si="4"/>
        <v>26</v>
      </c>
      <c r="BB6" s="121">
        <f t="shared" si="4"/>
        <v>25</v>
      </c>
      <c r="BC6" s="121">
        <f t="shared" si="4"/>
        <v>24</v>
      </c>
      <c r="BD6" s="121">
        <f t="shared" si="4"/>
        <v>23</v>
      </c>
      <c r="BE6" s="121">
        <f t="shared" si="4"/>
        <v>22</v>
      </c>
    </row>
    <row r="7" spans="1:57">
      <c r="A7" s="1">
        <f>Standings!I4</f>
        <v>21</v>
      </c>
      <c r="B7" s="1" t="b">
        <f t="shared" si="5"/>
        <v>1</v>
      </c>
      <c r="C7" s="1" t="str">
        <f t="shared" si="1"/>
        <v>Y</v>
      </c>
      <c r="D7" s="1" t="str">
        <f t="shared" si="2"/>
        <v>Y</v>
      </c>
      <c r="E7" s="1" t="str">
        <f>Standings!B4</f>
        <v>Flame</v>
      </c>
      <c r="F7" s="121">
        <f t="shared" si="6"/>
        <v>72</v>
      </c>
      <c r="G7" s="121">
        <f t="shared" si="3"/>
        <v>71</v>
      </c>
      <c r="H7" s="121">
        <f t="shared" si="3"/>
        <v>70</v>
      </c>
      <c r="I7" s="121">
        <f t="shared" si="3"/>
        <v>69</v>
      </c>
      <c r="J7" s="121">
        <f t="shared" si="3"/>
        <v>68</v>
      </c>
      <c r="K7" s="121">
        <f t="shared" si="3"/>
        <v>67</v>
      </c>
      <c r="L7" s="121">
        <f t="shared" si="3"/>
        <v>66</v>
      </c>
      <c r="M7" s="121">
        <f t="shared" si="3"/>
        <v>65</v>
      </c>
      <c r="N7" s="121">
        <f t="shared" si="3"/>
        <v>64</v>
      </c>
      <c r="O7" s="121">
        <f t="shared" si="3"/>
        <v>63</v>
      </c>
      <c r="P7" s="121">
        <f t="shared" si="3"/>
        <v>62</v>
      </c>
      <c r="Q7" s="121">
        <f t="shared" si="3"/>
        <v>61</v>
      </c>
      <c r="R7" s="121">
        <f t="shared" si="3"/>
        <v>60</v>
      </c>
      <c r="S7" s="121">
        <f t="shared" si="3"/>
        <v>59</v>
      </c>
      <c r="T7" s="121">
        <f t="shared" si="3"/>
        <v>58</v>
      </c>
      <c r="U7" s="121">
        <f t="shared" si="3"/>
        <v>57</v>
      </c>
      <c r="V7" s="121">
        <f t="shared" si="3"/>
        <v>56</v>
      </c>
      <c r="W7" s="121">
        <f t="shared" si="4"/>
        <v>55</v>
      </c>
      <c r="X7" s="121">
        <f t="shared" si="4"/>
        <v>54</v>
      </c>
      <c r="Y7" s="121">
        <f t="shared" si="4"/>
        <v>53</v>
      </c>
      <c r="Z7" s="121">
        <f t="shared" si="4"/>
        <v>52</v>
      </c>
      <c r="AA7" s="121">
        <f t="shared" si="4"/>
        <v>51</v>
      </c>
      <c r="AB7" s="121">
        <f t="shared" si="4"/>
        <v>50</v>
      </c>
      <c r="AC7" s="121">
        <f t="shared" si="4"/>
        <v>49</v>
      </c>
      <c r="AD7" s="121">
        <f t="shared" si="4"/>
        <v>48</v>
      </c>
      <c r="AE7" s="121">
        <f t="shared" si="4"/>
        <v>47</v>
      </c>
      <c r="AF7" s="121">
        <f t="shared" si="4"/>
        <v>46</v>
      </c>
      <c r="AG7" s="121">
        <f t="shared" si="4"/>
        <v>45</v>
      </c>
      <c r="AH7" s="121">
        <f t="shared" si="4"/>
        <v>44</v>
      </c>
      <c r="AI7" s="121">
        <f t="shared" si="4"/>
        <v>43</v>
      </c>
      <c r="AJ7" s="121">
        <f t="shared" si="4"/>
        <v>42</v>
      </c>
      <c r="AK7" s="121">
        <f t="shared" si="4"/>
        <v>41</v>
      </c>
      <c r="AL7" s="121">
        <f t="shared" si="4"/>
        <v>40</v>
      </c>
      <c r="AM7" s="121">
        <f t="shared" si="4"/>
        <v>39</v>
      </c>
      <c r="AN7" s="121">
        <f t="shared" si="4"/>
        <v>38</v>
      </c>
      <c r="AO7" s="121">
        <f t="shared" si="4"/>
        <v>37</v>
      </c>
      <c r="AP7" s="121">
        <f t="shared" si="4"/>
        <v>36</v>
      </c>
      <c r="AQ7" s="121">
        <f t="shared" si="4"/>
        <v>35</v>
      </c>
      <c r="AR7" s="121">
        <f t="shared" si="4"/>
        <v>34</v>
      </c>
      <c r="AS7" s="121">
        <f t="shared" si="4"/>
        <v>33</v>
      </c>
      <c r="AT7" s="121">
        <f t="shared" si="4"/>
        <v>32</v>
      </c>
      <c r="AU7" s="121">
        <f t="shared" si="4"/>
        <v>31</v>
      </c>
      <c r="AV7" s="121">
        <f t="shared" si="4"/>
        <v>30</v>
      </c>
      <c r="AW7" s="121">
        <f t="shared" si="4"/>
        <v>29</v>
      </c>
      <c r="AX7" s="121">
        <f t="shared" si="4"/>
        <v>28</v>
      </c>
      <c r="AY7" s="121">
        <f t="shared" si="4"/>
        <v>27</v>
      </c>
      <c r="AZ7" s="121">
        <f t="shared" si="4"/>
        <v>26</v>
      </c>
      <c r="BA7" s="121">
        <f t="shared" si="4"/>
        <v>25</v>
      </c>
      <c r="BB7" s="121">
        <f t="shared" si="4"/>
        <v>24</v>
      </c>
      <c r="BC7" s="121">
        <f t="shared" si="4"/>
        <v>23</v>
      </c>
      <c r="BD7" s="121">
        <f t="shared" si="4"/>
        <v>22</v>
      </c>
      <c r="BE7" s="121">
        <f t="shared" si="4"/>
        <v>21</v>
      </c>
    </row>
    <row r="8" spans="1:57">
      <c r="A8" s="1">
        <f>Standings!I5</f>
        <v>21</v>
      </c>
      <c r="B8" s="1" t="b">
        <f t="shared" si="5"/>
        <v>1</v>
      </c>
      <c r="C8" s="1" t="str">
        <f t="shared" si="1"/>
        <v>Y</v>
      </c>
      <c r="D8" s="1" t="str">
        <f t="shared" si="2"/>
        <v>Y</v>
      </c>
      <c r="E8" s="1" t="str">
        <f>Standings!B5</f>
        <v>Lil EDM</v>
      </c>
      <c r="F8" s="121">
        <f t="shared" si="6"/>
        <v>72</v>
      </c>
      <c r="G8" s="121">
        <f t="shared" si="3"/>
        <v>71</v>
      </c>
      <c r="H8" s="121">
        <f t="shared" si="3"/>
        <v>70</v>
      </c>
      <c r="I8" s="121">
        <f t="shared" si="3"/>
        <v>69</v>
      </c>
      <c r="J8" s="121">
        <f t="shared" si="3"/>
        <v>68</v>
      </c>
      <c r="K8" s="121">
        <f t="shared" si="3"/>
        <v>67</v>
      </c>
      <c r="L8" s="121">
        <f t="shared" si="3"/>
        <v>66</v>
      </c>
      <c r="M8" s="121">
        <f t="shared" si="3"/>
        <v>65</v>
      </c>
      <c r="N8" s="121">
        <f t="shared" si="3"/>
        <v>64</v>
      </c>
      <c r="O8" s="121">
        <f t="shared" si="3"/>
        <v>63</v>
      </c>
      <c r="P8" s="121">
        <f t="shared" si="3"/>
        <v>62</v>
      </c>
      <c r="Q8" s="121">
        <f t="shared" si="3"/>
        <v>61</v>
      </c>
      <c r="R8" s="121">
        <f t="shared" si="3"/>
        <v>60</v>
      </c>
      <c r="S8" s="121">
        <f t="shared" si="3"/>
        <v>59</v>
      </c>
      <c r="T8" s="121">
        <f t="shared" si="3"/>
        <v>58</v>
      </c>
      <c r="U8" s="121">
        <f t="shared" si="3"/>
        <v>57</v>
      </c>
      <c r="V8" s="121">
        <f t="shared" si="3"/>
        <v>56</v>
      </c>
      <c r="W8" s="121">
        <f t="shared" si="4"/>
        <v>55</v>
      </c>
      <c r="X8" s="121">
        <f t="shared" si="4"/>
        <v>54</v>
      </c>
      <c r="Y8" s="121">
        <f t="shared" si="4"/>
        <v>53</v>
      </c>
      <c r="Z8" s="121">
        <f t="shared" si="4"/>
        <v>52</v>
      </c>
      <c r="AA8" s="121">
        <f t="shared" si="4"/>
        <v>51</v>
      </c>
      <c r="AB8" s="121">
        <f t="shared" si="4"/>
        <v>50</v>
      </c>
      <c r="AC8" s="121">
        <f t="shared" si="4"/>
        <v>49</v>
      </c>
      <c r="AD8" s="121">
        <f t="shared" si="4"/>
        <v>48</v>
      </c>
      <c r="AE8" s="121">
        <f t="shared" si="4"/>
        <v>47</v>
      </c>
      <c r="AF8" s="121">
        <f t="shared" si="4"/>
        <v>46</v>
      </c>
      <c r="AG8" s="121">
        <f t="shared" si="4"/>
        <v>45</v>
      </c>
      <c r="AH8" s="121">
        <f t="shared" si="4"/>
        <v>44</v>
      </c>
      <c r="AI8" s="121">
        <f t="shared" si="4"/>
        <v>43</v>
      </c>
      <c r="AJ8" s="121">
        <f t="shared" si="4"/>
        <v>42</v>
      </c>
      <c r="AK8" s="121">
        <f t="shared" si="4"/>
        <v>41</v>
      </c>
      <c r="AL8" s="121">
        <f t="shared" si="4"/>
        <v>40</v>
      </c>
      <c r="AM8" s="121">
        <f t="shared" si="4"/>
        <v>39</v>
      </c>
      <c r="AN8" s="121">
        <f t="shared" si="4"/>
        <v>38</v>
      </c>
      <c r="AO8" s="121">
        <f t="shared" si="4"/>
        <v>37</v>
      </c>
      <c r="AP8" s="121">
        <f t="shared" si="4"/>
        <v>36</v>
      </c>
      <c r="AQ8" s="121">
        <f t="shared" si="4"/>
        <v>35</v>
      </c>
      <c r="AR8" s="121">
        <f t="shared" si="4"/>
        <v>34</v>
      </c>
      <c r="AS8" s="121">
        <f t="shared" si="4"/>
        <v>33</v>
      </c>
      <c r="AT8" s="121">
        <f t="shared" si="4"/>
        <v>32</v>
      </c>
      <c r="AU8" s="121">
        <f t="shared" si="4"/>
        <v>31</v>
      </c>
      <c r="AV8" s="121">
        <f t="shared" si="4"/>
        <v>30</v>
      </c>
      <c r="AW8" s="121">
        <f t="shared" si="4"/>
        <v>29</v>
      </c>
      <c r="AX8" s="121">
        <f t="shared" si="4"/>
        <v>28</v>
      </c>
      <c r="AY8" s="121">
        <f t="shared" si="4"/>
        <v>27</v>
      </c>
      <c r="AZ8" s="121">
        <f t="shared" si="4"/>
        <v>26</v>
      </c>
      <c r="BA8" s="121">
        <f t="shared" si="4"/>
        <v>25</v>
      </c>
      <c r="BB8" s="121">
        <f t="shared" si="4"/>
        <v>24</v>
      </c>
      <c r="BC8" s="121">
        <f t="shared" si="4"/>
        <v>23</v>
      </c>
      <c r="BD8" s="121">
        <f t="shared" si="4"/>
        <v>22</v>
      </c>
      <c r="BE8" s="121">
        <f t="shared" si="4"/>
        <v>21</v>
      </c>
    </row>
    <row r="9" spans="1:57">
      <c r="A9" s="1">
        <f>Standings!I6</f>
        <v>20</v>
      </c>
      <c r="B9" s="1" t="b">
        <f t="shared" si="5"/>
        <v>1</v>
      </c>
      <c r="C9" t="str">
        <f t="shared" si="1"/>
        <v>Y</v>
      </c>
      <c r="D9" s="1" t="str">
        <f t="shared" si="2"/>
        <v>Y</v>
      </c>
      <c r="E9" s="1" t="str">
        <f>Standings!B6</f>
        <v>Cmart</v>
      </c>
      <c r="F9" s="121">
        <f t="shared" si="6"/>
        <v>71</v>
      </c>
      <c r="G9" s="121">
        <f t="shared" si="3"/>
        <v>70</v>
      </c>
      <c r="H9" s="121">
        <f t="shared" si="3"/>
        <v>69</v>
      </c>
      <c r="I9" s="121">
        <f t="shared" si="3"/>
        <v>68</v>
      </c>
      <c r="J9" s="121">
        <f t="shared" si="3"/>
        <v>67</v>
      </c>
      <c r="K9" s="121">
        <f t="shared" si="3"/>
        <v>66</v>
      </c>
      <c r="L9" s="121">
        <f t="shared" si="3"/>
        <v>65</v>
      </c>
      <c r="M9" s="121">
        <f t="shared" si="3"/>
        <v>64</v>
      </c>
      <c r="N9" s="121">
        <f t="shared" si="3"/>
        <v>63</v>
      </c>
      <c r="O9" s="121">
        <f t="shared" si="3"/>
        <v>62</v>
      </c>
      <c r="P9" s="121">
        <f t="shared" si="3"/>
        <v>61</v>
      </c>
      <c r="Q9" s="121">
        <f t="shared" si="3"/>
        <v>60</v>
      </c>
      <c r="R9" s="121">
        <f t="shared" si="3"/>
        <v>59</v>
      </c>
      <c r="S9" s="121">
        <f t="shared" si="3"/>
        <v>58</v>
      </c>
      <c r="T9" s="121">
        <f t="shared" si="3"/>
        <v>57</v>
      </c>
      <c r="U9" s="121">
        <f t="shared" si="3"/>
        <v>56</v>
      </c>
      <c r="V9" s="121">
        <f t="shared" si="3"/>
        <v>55</v>
      </c>
      <c r="W9" s="121">
        <f t="shared" si="4"/>
        <v>54</v>
      </c>
      <c r="X9" s="121">
        <f t="shared" si="4"/>
        <v>53</v>
      </c>
      <c r="Y9" s="121">
        <f t="shared" si="4"/>
        <v>52</v>
      </c>
      <c r="Z9" s="121">
        <f t="shared" si="4"/>
        <v>51</v>
      </c>
      <c r="AA9" s="121">
        <f t="shared" si="4"/>
        <v>50</v>
      </c>
      <c r="AB9" s="121">
        <f t="shared" si="4"/>
        <v>49</v>
      </c>
      <c r="AC9" s="121">
        <f t="shared" si="4"/>
        <v>48</v>
      </c>
      <c r="AD9" s="121">
        <f t="shared" si="4"/>
        <v>47</v>
      </c>
      <c r="AE9" s="121">
        <f t="shared" si="4"/>
        <v>46</v>
      </c>
      <c r="AF9" s="121">
        <f t="shared" si="4"/>
        <v>45</v>
      </c>
      <c r="AG9" s="121">
        <f t="shared" si="4"/>
        <v>44</v>
      </c>
      <c r="AH9" s="121">
        <f t="shared" si="4"/>
        <v>43</v>
      </c>
      <c r="AI9" s="121">
        <f t="shared" si="4"/>
        <v>42</v>
      </c>
      <c r="AJ9" s="121">
        <f t="shared" si="4"/>
        <v>41</v>
      </c>
      <c r="AK9" s="121">
        <f t="shared" si="4"/>
        <v>40</v>
      </c>
      <c r="AL9" s="121">
        <f t="shared" si="4"/>
        <v>39</v>
      </c>
      <c r="AM9" s="121">
        <f t="shared" si="4"/>
        <v>38</v>
      </c>
      <c r="AN9" s="121">
        <f t="shared" si="4"/>
        <v>37</v>
      </c>
      <c r="AO9" s="121">
        <f t="shared" si="4"/>
        <v>36</v>
      </c>
      <c r="AP9" s="121">
        <f t="shared" si="4"/>
        <v>35</v>
      </c>
      <c r="AQ9" s="121">
        <f t="shared" si="4"/>
        <v>34</v>
      </c>
      <c r="AR9" s="121">
        <f t="shared" si="4"/>
        <v>33</v>
      </c>
      <c r="AS9" s="121">
        <f t="shared" si="4"/>
        <v>32</v>
      </c>
      <c r="AT9" s="121">
        <f t="shared" si="4"/>
        <v>31</v>
      </c>
      <c r="AU9" s="121">
        <f t="shared" si="4"/>
        <v>30</v>
      </c>
      <c r="AV9" s="121">
        <f t="shared" si="4"/>
        <v>29</v>
      </c>
      <c r="AW9" s="121">
        <f t="shared" si="4"/>
        <v>28</v>
      </c>
      <c r="AX9" s="121">
        <f t="shared" si="4"/>
        <v>27</v>
      </c>
      <c r="AY9" s="121">
        <f t="shared" si="4"/>
        <v>26</v>
      </c>
      <c r="AZ9" s="121">
        <f t="shared" si="4"/>
        <v>25</v>
      </c>
      <c r="BA9" s="121">
        <f t="shared" si="4"/>
        <v>24</v>
      </c>
      <c r="BB9" s="121">
        <f t="shared" si="4"/>
        <v>23</v>
      </c>
      <c r="BC9" s="121">
        <f t="shared" si="4"/>
        <v>22</v>
      </c>
      <c r="BD9" s="121">
        <f t="shared" si="4"/>
        <v>21</v>
      </c>
      <c r="BE9" s="121">
        <f t="shared" si="4"/>
        <v>20</v>
      </c>
    </row>
    <row r="10" spans="1:57">
      <c r="A10" s="1">
        <f>Standings!I7</f>
        <v>19</v>
      </c>
      <c r="B10" s="1" t="b">
        <f t="shared" si="5"/>
        <v>1</v>
      </c>
      <c r="C10" s="1" t="str">
        <f t="shared" si="1"/>
        <v>Y</v>
      </c>
      <c r="D10" s="1" t="str">
        <f t="shared" si="2"/>
        <v>Y</v>
      </c>
      <c r="E10" s="1" t="str">
        <f>Standings!B7</f>
        <v>Spike</v>
      </c>
      <c r="F10" s="121">
        <f t="shared" si="6"/>
        <v>70</v>
      </c>
      <c r="G10" s="121">
        <f t="shared" si="3"/>
        <v>69</v>
      </c>
      <c r="H10" s="121">
        <f t="shared" si="3"/>
        <v>68</v>
      </c>
      <c r="I10" s="121">
        <f t="shared" si="3"/>
        <v>67</v>
      </c>
      <c r="J10" s="121">
        <f t="shared" si="3"/>
        <v>66</v>
      </c>
      <c r="K10" s="121">
        <f t="shared" si="3"/>
        <v>65</v>
      </c>
      <c r="L10" s="121">
        <f t="shared" si="3"/>
        <v>64</v>
      </c>
      <c r="M10" s="121">
        <f t="shared" si="3"/>
        <v>63</v>
      </c>
      <c r="N10" s="121">
        <f t="shared" si="3"/>
        <v>62</v>
      </c>
      <c r="O10" s="121">
        <f t="shared" si="3"/>
        <v>61</v>
      </c>
      <c r="P10" s="121">
        <f t="shared" si="3"/>
        <v>60</v>
      </c>
      <c r="Q10" s="121">
        <f t="shared" si="3"/>
        <v>59</v>
      </c>
      <c r="R10" s="121">
        <f t="shared" si="3"/>
        <v>58</v>
      </c>
      <c r="S10" s="121">
        <f t="shared" si="3"/>
        <v>57</v>
      </c>
      <c r="T10" s="121">
        <f t="shared" si="3"/>
        <v>56</v>
      </c>
      <c r="U10" s="121">
        <f t="shared" si="3"/>
        <v>55</v>
      </c>
      <c r="V10" s="121">
        <f t="shared" si="3"/>
        <v>54</v>
      </c>
      <c r="W10" s="121">
        <f t="shared" si="4"/>
        <v>53</v>
      </c>
      <c r="X10" s="121">
        <f t="shared" si="4"/>
        <v>52</v>
      </c>
      <c r="Y10" s="121">
        <f t="shared" si="4"/>
        <v>51</v>
      </c>
      <c r="Z10" s="121">
        <f t="shared" si="4"/>
        <v>50</v>
      </c>
      <c r="AA10" s="121">
        <f t="shared" si="4"/>
        <v>49</v>
      </c>
      <c r="AB10" s="121">
        <f t="shared" si="4"/>
        <v>48</v>
      </c>
      <c r="AC10" s="121">
        <f t="shared" si="4"/>
        <v>47</v>
      </c>
      <c r="AD10" s="121">
        <f t="shared" si="4"/>
        <v>46</v>
      </c>
      <c r="AE10" s="121">
        <f t="shared" si="4"/>
        <v>45</v>
      </c>
      <c r="AF10" s="121">
        <f t="shared" si="4"/>
        <v>44</v>
      </c>
      <c r="AG10" s="121">
        <f t="shared" si="4"/>
        <v>43</v>
      </c>
      <c r="AH10" s="121">
        <f t="shared" si="4"/>
        <v>42</v>
      </c>
      <c r="AI10" s="121">
        <f t="shared" si="4"/>
        <v>41</v>
      </c>
      <c r="AJ10" s="121">
        <f t="shared" si="4"/>
        <v>40</v>
      </c>
      <c r="AK10" s="121">
        <f t="shared" si="4"/>
        <v>39</v>
      </c>
      <c r="AL10" s="121">
        <f t="shared" si="4"/>
        <v>38</v>
      </c>
      <c r="AM10" s="121">
        <f t="shared" si="4"/>
        <v>37</v>
      </c>
      <c r="AN10" s="121">
        <f t="shared" si="4"/>
        <v>36</v>
      </c>
      <c r="AO10" s="121">
        <f t="shared" si="4"/>
        <v>35</v>
      </c>
      <c r="AP10" s="121">
        <f t="shared" si="4"/>
        <v>34</v>
      </c>
      <c r="AQ10" s="121">
        <f t="shared" si="4"/>
        <v>33</v>
      </c>
      <c r="AR10" s="121">
        <f t="shared" si="4"/>
        <v>32</v>
      </c>
      <c r="AS10" s="121">
        <f t="shared" si="4"/>
        <v>31</v>
      </c>
      <c r="AT10" s="121">
        <f t="shared" si="4"/>
        <v>30</v>
      </c>
      <c r="AU10" s="121">
        <f t="shared" si="4"/>
        <v>29</v>
      </c>
      <c r="AV10" s="121">
        <f t="shared" si="4"/>
        <v>28</v>
      </c>
      <c r="AW10" s="121">
        <f t="shared" si="4"/>
        <v>27</v>
      </c>
      <c r="AX10" s="121">
        <f t="shared" si="4"/>
        <v>26</v>
      </c>
      <c r="AY10" s="121">
        <f t="shared" si="4"/>
        <v>25</v>
      </c>
      <c r="AZ10" s="121">
        <f t="shared" si="4"/>
        <v>24</v>
      </c>
      <c r="BA10" s="121">
        <f t="shared" si="4"/>
        <v>23</v>
      </c>
      <c r="BB10" s="121">
        <f t="shared" si="4"/>
        <v>22</v>
      </c>
      <c r="BC10" s="121">
        <f t="shared" si="4"/>
        <v>21</v>
      </c>
      <c r="BD10" s="121">
        <f t="shared" si="4"/>
        <v>20</v>
      </c>
      <c r="BE10" s="121">
        <f t="shared" si="4"/>
        <v>19</v>
      </c>
    </row>
    <row r="11" spans="1:57">
      <c r="A11" s="1">
        <f>Standings!I8</f>
        <v>19</v>
      </c>
      <c r="B11" s="1" t="b">
        <f t="shared" si="5"/>
        <v>1</v>
      </c>
      <c r="C11" s="1" t="str">
        <f t="shared" si="1"/>
        <v>Y</v>
      </c>
      <c r="D11" s="1" t="str">
        <f t="shared" si="2"/>
        <v>Y</v>
      </c>
      <c r="E11" s="1" t="str">
        <f>Standings!B8</f>
        <v>Odell Bailey</v>
      </c>
      <c r="F11" s="121">
        <f t="shared" si="6"/>
        <v>70</v>
      </c>
      <c r="G11" s="121">
        <f t="shared" si="3"/>
        <v>69</v>
      </c>
      <c r="H11" s="121">
        <f t="shared" si="3"/>
        <v>68</v>
      </c>
      <c r="I11" s="121">
        <f t="shared" si="3"/>
        <v>67</v>
      </c>
      <c r="J11" s="121">
        <f t="shared" si="3"/>
        <v>66</v>
      </c>
      <c r="K11" s="121">
        <f t="shared" si="3"/>
        <v>65</v>
      </c>
      <c r="L11" s="121">
        <f t="shared" si="3"/>
        <v>64</v>
      </c>
      <c r="M11" s="121">
        <f t="shared" si="3"/>
        <v>63</v>
      </c>
      <c r="N11" s="121">
        <f t="shared" si="3"/>
        <v>62</v>
      </c>
      <c r="O11" s="121">
        <f t="shared" si="3"/>
        <v>61</v>
      </c>
      <c r="P11" s="121">
        <f t="shared" si="3"/>
        <v>60</v>
      </c>
      <c r="Q11" s="121">
        <f t="shared" si="3"/>
        <v>59</v>
      </c>
      <c r="R11" s="121">
        <f t="shared" si="3"/>
        <v>58</v>
      </c>
      <c r="S11" s="121">
        <f t="shared" si="3"/>
        <v>57</v>
      </c>
      <c r="T11" s="121">
        <f t="shared" si="3"/>
        <v>56</v>
      </c>
      <c r="U11" s="121">
        <f t="shared" si="3"/>
        <v>55</v>
      </c>
      <c r="V11" s="121">
        <f t="shared" si="3"/>
        <v>54</v>
      </c>
      <c r="W11" s="121">
        <f t="shared" si="4"/>
        <v>53</v>
      </c>
      <c r="X11" s="121">
        <f t="shared" si="4"/>
        <v>52</v>
      </c>
      <c r="Y11" s="121">
        <f t="shared" si="4"/>
        <v>51</v>
      </c>
      <c r="Z11" s="121">
        <f t="shared" si="4"/>
        <v>50</v>
      </c>
      <c r="AA11" s="121">
        <f t="shared" si="4"/>
        <v>49</v>
      </c>
      <c r="AB11" s="121">
        <f t="shared" si="4"/>
        <v>48</v>
      </c>
      <c r="AC11" s="121">
        <f t="shared" si="4"/>
        <v>47</v>
      </c>
      <c r="AD11" s="121">
        <f t="shared" si="4"/>
        <v>46</v>
      </c>
      <c r="AE11" s="121">
        <f t="shared" si="4"/>
        <v>45</v>
      </c>
      <c r="AF11" s="121">
        <f t="shared" si="4"/>
        <v>44</v>
      </c>
      <c r="AG11" s="121">
        <f t="shared" si="4"/>
        <v>43</v>
      </c>
      <c r="AH11" s="121">
        <f t="shared" si="4"/>
        <v>42</v>
      </c>
      <c r="AI11" s="121">
        <f t="shared" si="4"/>
        <v>41</v>
      </c>
      <c r="AJ11" s="121">
        <f t="shared" si="4"/>
        <v>40</v>
      </c>
      <c r="AK11" s="121">
        <f t="shared" si="4"/>
        <v>39</v>
      </c>
      <c r="AL11" s="121">
        <f t="shared" si="4"/>
        <v>38</v>
      </c>
      <c r="AM11" s="121">
        <f t="shared" si="4"/>
        <v>37</v>
      </c>
      <c r="AN11" s="121">
        <f t="shared" si="4"/>
        <v>36</v>
      </c>
      <c r="AO11" s="121">
        <f t="shared" si="4"/>
        <v>35</v>
      </c>
      <c r="AP11" s="121">
        <f t="shared" si="4"/>
        <v>34</v>
      </c>
      <c r="AQ11" s="121">
        <f t="shared" si="4"/>
        <v>33</v>
      </c>
      <c r="AR11" s="121">
        <f t="shared" si="4"/>
        <v>32</v>
      </c>
      <c r="AS11" s="121">
        <f t="shared" si="4"/>
        <v>31</v>
      </c>
      <c r="AT11" s="121">
        <f t="shared" si="4"/>
        <v>30</v>
      </c>
      <c r="AU11" s="121">
        <f t="shared" si="4"/>
        <v>29</v>
      </c>
      <c r="AV11" s="121">
        <f t="shared" si="4"/>
        <v>28</v>
      </c>
      <c r="AW11" s="121">
        <f t="shared" si="4"/>
        <v>27</v>
      </c>
      <c r="AX11" s="121">
        <f t="shared" si="4"/>
        <v>26</v>
      </c>
      <c r="AY11" s="121">
        <f t="shared" si="4"/>
        <v>25</v>
      </c>
      <c r="AZ11" s="121">
        <f t="shared" si="4"/>
        <v>24</v>
      </c>
      <c r="BA11" s="121">
        <f t="shared" si="4"/>
        <v>23</v>
      </c>
      <c r="BB11" s="121">
        <f t="shared" si="4"/>
        <v>22</v>
      </c>
      <c r="BC11" s="121">
        <f t="shared" si="4"/>
        <v>21</v>
      </c>
      <c r="BD11" s="121">
        <f t="shared" si="4"/>
        <v>20</v>
      </c>
      <c r="BE11" s="121">
        <f t="shared" si="4"/>
        <v>19</v>
      </c>
    </row>
    <row r="12" spans="1:57">
      <c r="A12" s="1">
        <f>Standings!I9</f>
        <v>18</v>
      </c>
      <c r="B12" s="1" t="b">
        <f t="shared" si="5"/>
        <v>1</v>
      </c>
      <c r="C12" s="1" t="str">
        <f t="shared" si="1"/>
        <v>Y</v>
      </c>
      <c r="D12" s="1" t="str">
        <f t="shared" si="2"/>
        <v>Y</v>
      </c>
      <c r="E12" s="1" t="str">
        <f>Standings!B9</f>
        <v>Lil Boi</v>
      </c>
      <c r="F12" s="121">
        <f t="shared" si="6"/>
        <v>69</v>
      </c>
      <c r="G12" s="121">
        <f t="shared" si="3"/>
        <v>68</v>
      </c>
      <c r="H12" s="121">
        <f t="shared" si="3"/>
        <v>67</v>
      </c>
      <c r="I12" s="121">
        <f t="shared" si="3"/>
        <v>66</v>
      </c>
      <c r="J12" s="121">
        <f t="shared" si="3"/>
        <v>65</v>
      </c>
      <c r="K12" s="121">
        <f t="shared" si="3"/>
        <v>64</v>
      </c>
      <c r="L12" s="121">
        <f t="shared" si="3"/>
        <v>63</v>
      </c>
      <c r="M12" s="121">
        <f t="shared" si="3"/>
        <v>62</v>
      </c>
      <c r="N12" s="121">
        <f t="shared" si="3"/>
        <v>61</v>
      </c>
      <c r="O12" s="121">
        <f t="shared" si="3"/>
        <v>60</v>
      </c>
      <c r="P12" s="121">
        <f t="shared" si="3"/>
        <v>59</v>
      </c>
      <c r="Q12" s="121">
        <f t="shared" si="3"/>
        <v>58</v>
      </c>
      <c r="R12" s="121">
        <f t="shared" si="3"/>
        <v>57</v>
      </c>
      <c r="S12" s="121">
        <f t="shared" si="3"/>
        <v>56</v>
      </c>
      <c r="T12" s="121">
        <f t="shared" si="3"/>
        <v>55</v>
      </c>
      <c r="U12" s="121">
        <f t="shared" si="3"/>
        <v>54</v>
      </c>
      <c r="V12" s="121">
        <f t="shared" si="3"/>
        <v>53</v>
      </c>
      <c r="W12" s="121">
        <f t="shared" si="4"/>
        <v>52</v>
      </c>
      <c r="X12" s="121">
        <f t="shared" si="4"/>
        <v>51</v>
      </c>
      <c r="Y12" s="121">
        <f t="shared" si="4"/>
        <v>50</v>
      </c>
      <c r="Z12" s="121">
        <f t="shared" si="4"/>
        <v>49</v>
      </c>
      <c r="AA12" s="121">
        <f t="shared" si="4"/>
        <v>48</v>
      </c>
      <c r="AB12" s="121">
        <f t="shared" si="4"/>
        <v>47</v>
      </c>
      <c r="AC12" s="121">
        <f t="shared" si="4"/>
        <v>46</v>
      </c>
      <c r="AD12" s="121">
        <f t="shared" si="4"/>
        <v>45</v>
      </c>
      <c r="AE12" s="121">
        <f t="shared" si="4"/>
        <v>44</v>
      </c>
      <c r="AF12" s="121">
        <f t="shared" si="4"/>
        <v>43</v>
      </c>
      <c r="AG12" s="121">
        <f t="shared" ref="AG12:BE14" si="7">$A12+AG$4</f>
        <v>42</v>
      </c>
      <c r="AH12" s="121">
        <f t="shared" si="7"/>
        <v>41</v>
      </c>
      <c r="AI12" s="121">
        <f t="shared" si="7"/>
        <v>40</v>
      </c>
      <c r="AJ12" s="121">
        <f t="shared" si="7"/>
        <v>39</v>
      </c>
      <c r="AK12" s="121">
        <f t="shared" si="7"/>
        <v>38</v>
      </c>
      <c r="AL12" s="121">
        <f t="shared" si="7"/>
        <v>37</v>
      </c>
      <c r="AM12" s="121">
        <f t="shared" si="7"/>
        <v>36</v>
      </c>
      <c r="AN12" s="121">
        <f t="shared" si="7"/>
        <v>35</v>
      </c>
      <c r="AO12" s="121">
        <f t="shared" si="7"/>
        <v>34</v>
      </c>
      <c r="AP12" s="121">
        <f t="shared" si="7"/>
        <v>33</v>
      </c>
      <c r="AQ12" s="121">
        <f t="shared" si="7"/>
        <v>32</v>
      </c>
      <c r="AR12" s="121">
        <f t="shared" si="7"/>
        <v>31</v>
      </c>
      <c r="AS12" s="121">
        <f t="shared" si="7"/>
        <v>30</v>
      </c>
      <c r="AT12" s="121">
        <f t="shared" si="7"/>
        <v>29</v>
      </c>
      <c r="AU12" s="121">
        <f t="shared" si="7"/>
        <v>28</v>
      </c>
      <c r="AV12" s="121">
        <f t="shared" si="7"/>
        <v>27</v>
      </c>
      <c r="AW12" s="121">
        <f t="shared" si="7"/>
        <v>26</v>
      </c>
      <c r="AX12" s="121">
        <f t="shared" si="7"/>
        <v>25</v>
      </c>
      <c r="AY12" s="121">
        <f t="shared" si="7"/>
        <v>24</v>
      </c>
      <c r="AZ12" s="121">
        <f t="shared" si="7"/>
        <v>23</v>
      </c>
      <c r="BA12" s="121">
        <f t="shared" si="7"/>
        <v>22</v>
      </c>
      <c r="BB12" s="121">
        <f t="shared" si="7"/>
        <v>21</v>
      </c>
      <c r="BC12" s="121">
        <f t="shared" si="7"/>
        <v>20</v>
      </c>
      <c r="BD12" s="121">
        <f t="shared" si="7"/>
        <v>19</v>
      </c>
      <c r="BE12" s="121">
        <f t="shared" si="7"/>
        <v>18</v>
      </c>
    </row>
    <row r="13" spans="1:57">
      <c r="A13" s="1">
        <f>Standings!I10</f>
        <v>17</v>
      </c>
      <c r="B13" s="1" t="b">
        <f t="shared" si="5"/>
        <v>1</v>
      </c>
      <c r="C13" s="1" t="str">
        <f t="shared" si="1"/>
        <v>Y</v>
      </c>
      <c r="D13" s="1" t="str">
        <f t="shared" si="2"/>
        <v>Y</v>
      </c>
      <c r="E13" s="1" t="str">
        <f>Standings!B10</f>
        <v>Fish</v>
      </c>
      <c r="F13" s="1">
        <f t="shared" ref="F13:F14" si="8">$A13+F$4</f>
        <v>68</v>
      </c>
      <c r="G13" s="1">
        <f t="shared" si="3"/>
        <v>67</v>
      </c>
      <c r="H13" s="1">
        <f t="shared" si="3"/>
        <v>66</v>
      </c>
      <c r="I13" s="1">
        <f t="shared" si="3"/>
        <v>65</v>
      </c>
      <c r="J13" s="121">
        <f t="shared" si="3"/>
        <v>64</v>
      </c>
      <c r="K13" s="121">
        <f t="shared" si="3"/>
        <v>63</v>
      </c>
      <c r="L13" s="121">
        <f t="shared" si="3"/>
        <v>62</v>
      </c>
      <c r="M13" s="121">
        <f t="shared" si="3"/>
        <v>61</v>
      </c>
      <c r="N13" s="121">
        <f t="shared" si="3"/>
        <v>60</v>
      </c>
      <c r="O13" s="121">
        <f t="shared" si="3"/>
        <v>59</v>
      </c>
      <c r="P13" s="121">
        <f t="shared" si="3"/>
        <v>58</v>
      </c>
      <c r="Q13" s="121">
        <f t="shared" si="3"/>
        <v>57</v>
      </c>
      <c r="R13" s="121">
        <f t="shared" si="3"/>
        <v>56</v>
      </c>
      <c r="S13" s="121">
        <f t="shared" si="3"/>
        <v>55</v>
      </c>
      <c r="T13" s="121">
        <f t="shared" si="3"/>
        <v>54</v>
      </c>
      <c r="U13" s="121">
        <f t="shared" si="3"/>
        <v>53</v>
      </c>
      <c r="V13" s="121">
        <f t="shared" si="3"/>
        <v>52</v>
      </c>
      <c r="W13" s="121">
        <f t="shared" ref="W13:AF14" si="9">$A13+W$4</f>
        <v>51</v>
      </c>
      <c r="X13" s="121">
        <f t="shared" si="9"/>
        <v>50</v>
      </c>
      <c r="Y13" s="121">
        <f t="shared" si="9"/>
        <v>49</v>
      </c>
      <c r="Z13" s="121">
        <f t="shared" si="9"/>
        <v>48</v>
      </c>
      <c r="AA13" s="121">
        <f t="shared" si="9"/>
        <v>47</v>
      </c>
      <c r="AB13" s="121">
        <f t="shared" si="9"/>
        <v>46</v>
      </c>
      <c r="AC13" s="121">
        <f t="shared" si="9"/>
        <v>45</v>
      </c>
      <c r="AD13" s="121">
        <f t="shared" si="9"/>
        <v>44</v>
      </c>
      <c r="AE13" s="121">
        <f t="shared" si="9"/>
        <v>43</v>
      </c>
      <c r="AF13" s="121">
        <f t="shared" si="9"/>
        <v>42</v>
      </c>
      <c r="AG13" s="121">
        <f t="shared" si="7"/>
        <v>41</v>
      </c>
      <c r="AH13" s="121">
        <f t="shared" si="7"/>
        <v>40</v>
      </c>
      <c r="AI13" s="121">
        <f t="shared" si="7"/>
        <v>39</v>
      </c>
      <c r="AJ13" s="121">
        <f t="shared" si="7"/>
        <v>38</v>
      </c>
      <c r="AK13" s="121">
        <f t="shared" si="7"/>
        <v>37</v>
      </c>
      <c r="AL13" s="121">
        <f t="shared" si="7"/>
        <v>36</v>
      </c>
      <c r="AM13" s="121">
        <f t="shared" si="7"/>
        <v>35</v>
      </c>
      <c r="AN13" s="121">
        <f t="shared" si="7"/>
        <v>34</v>
      </c>
      <c r="AO13" s="121">
        <f t="shared" si="7"/>
        <v>33</v>
      </c>
      <c r="AP13" s="121">
        <f t="shared" si="7"/>
        <v>32</v>
      </c>
      <c r="AQ13" s="121">
        <f t="shared" si="7"/>
        <v>31</v>
      </c>
      <c r="AR13" s="121">
        <f t="shared" si="7"/>
        <v>30</v>
      </c>
      <c r="AS13" s="121">
        <f t="shared" si="7"/>
        <v>29</v>
      </c>
      <c r="AT13" s="121">
        <f t="shared" si="7"/>
        <v>28</v>
      </c>
      <c r="AU13" s="121">
        <f t="shared" si="7"/>
        <v>27</v>
      </c>
      <c r="AV13" s="121">
        <f t="shared" si="7"/>
        <v>26</v>
      </c>
      <c r="AW13" s="121">
        <f t="shared" si="7"/>
        <v>25</v>
      </c>
      <c r="AX13" s="121">
        <f t="shared" si="7"/>
        <v>24</v>
      </c>
      <c r="AY13" s="121">
        <f t="shared" si="7"/>
        <v>23</v>
      </c>
      <c r="AZ13" s="121">
        <f t="shared" si="7"/>
        <v>22</v>
      </c>
      <c r="BA13" s="121">
        <f t="shared" si="7"/>
        <v>21</v>
      </c>
      <c r="BB13" s="121">
        <f t="shared" si="7"/>
        <v>20</v>
      </c>
      <c r="BC13" s="121">
        <f t="shared" si="7"/>
        <v>19</v>
      </c>
      <c r="BD13" s="121">
        <f t="shared" si="7"/>
        <v>18</v>
      </c>
      <c r="BE13" s="121">
        <f t="shared" si="7"/>
        <v>17</v>
      </c>
    </row>
    <row r="14" spans="1:57">
      <c r="A14" s="1">
        <f>Standings!I11</f>
        <v>17</v>
      </c>
      <c r="B14" s="1" t="b">
        <f t="shared" si="5"/>
        <v>1</v>
      </c>
      <c r="C14" s="1" t="str">
        <f t="shared" si="1"/>
        <v>Y</v>
      </c>
      <c r="D14" s="1" t="str">
        <f t="shared" si="2"/>
        <v>Y</v>
      </c>
      <c r="E14" s="1" t="str">
        <f>Standings!B11</f>
        <v>Otto</v>
      </c>
      <c r="F14" s="1">
        <f t="shared" si="8"/>
        <v>68</v>
      </c>
      <c r="G14" s="1">
        <f t="shared" si="3"/>
        <v>67</v>
      </c>
      <c r="H14" s="1">
        <f t="shared" si="3"/>
        <v>66</v>
      </c>
      <c r="I14" s="1">
        <f t="shared" si="3"/>
        <v>65</v>
      </c>
      <c r="J14" s="121">
        <f t="shared" si="3"/>
        <v>64</v>
      </c>
      <c r="K14" s="121">
        <f t="shared" si="3"/>
        <v>63</v>
      </c>
      <c r="L14" s="121">
        <f t="shared" si="3"/>
        <v>62</v>
      </c>
      <c r="M14" s="121">
        <f t="shared" si="3"/>
        <v>61</v>
      </c>
      <c r="N14" s="121">
        <f t="shared" si="3"/>
        <v>60</v>
      </c>
      <c r="O14" s="121">
        <f t="shared" si="3"/>
        <v>59</v>
      </c>
      <c r="P14" s="121">
        <f t="shared" si="3"/>
        <v>58</v>
      </c>
      <c r="Q14" s="121">
        <f t="shared" si="3"/>
        <v>57</v>
      </c>
      <c r="R14" s="121">
        <f t="shared" si="3"/>
        <v>56</v>
      </c>
      <c r="S14" s="121">
        <f t="shared" si="3"/>
        <v>55</v>
      </c>
      <c r="T14" s="121">
        <f t="shared" si="3"/>
        <v>54</v>
      </c>
      <c r="U14" s="121">
        <f t="shared" si="3"/>
        <v>53</v>
      </c>
      <c r="V14" s="121">
        <f t="shared" si="3"/>
        <v>52</v>
      </c>
      <c r="W14" s="121">
        <f t="shared" si="9"/>
        <v>51</v>
      </c>
      <c r="X14" s="121">
        <f t="shared" si="9"/>
        <v>50</v>
      </c>
      <c r="Y14" s="121">
        <f t="shared" si="9"/>
        <v>49</v>
      </c>
      <c r="Z14" s="121">
        <f t="shared" si="9"/>
        <v>48</v>
      </c>
      <c r="AA14" s="121">
        <f t="shared" si="9"/>
        <v>47</v>
      </c>
      <c r="AB14" s="121">
        <f t="shared" si="9"/>
        <v>46</v>
      </c>
      <c r="AC14" s="121">
        <f t="shared" si="9"/>
        <v>45</v>
      </c>
      <c r="AD14" s="121">
        <f t="shared" si="9"/>
        <v>44</v>
      </c>
      <c r="AE14" s="121">
        <f t="shared" si="9"/>
        <v>43</v>
      </c>
      <c r="AF14" s="121">
        <f t="shared" si="9"/>
        <v>42</v>
      </c>
      <c r="AG14" s="121">
        <f t="shared" si="7"/>
        <v>41</v>
      </c>
      <c r="AH14" s="121">
        <f t="shared" si="7"/>
        <v>40</v>
      </c>
      <c r="AI14" s="121">
        <f t="shared" si="7"/>
        <v>39</v>
      </c>
      <c r="AJ14" s="121">
        <f t="shared" si="7"/>
        <v>38</v>
      </c>
      <c r="AK14" s="121">
        <f t="shared" si="7"/>
        <v>37</v>
      </c>
      <c r="AL14" s="121">
        <f t="shared" si="7"/>
        <v>36</v>
      </c>
      <c r="AM14" s="121">
        <f t="shared" si="7"/>
        <v>35</v>
      </c>
      <c r="AN14" s="121">
        <f t="shared" si="7"/>
        <v>34</v>
      </c>
      <c r="AO14" s="121">
        <f t="shared" si="7"/>
        <v>33</v>
      </c>
      <c r="AP14" s="121">
        <f t="shared" si="7"/>
        <v>32</v>
      </c>
      <c r="AQ14" s="121">
        <f t="shared" si="7"/>
        <v>31</v>
      </c>
      <c r="AR14" s="121">
        <f t="shared" si="7"/>
        <v>30</v>
      </c>
      <c r="AS14" s="121">
        <f t="shared" si="7"/>
        <v>29</v>
      </c>
      <c r="AT14" s="121">
        <f t="shared" si="7"/>
        <v>28</v>
      </c>
      <c r="AU14" s="121">
        <f t="shared" si="7"/>
        <v>27</v>
      </c>
      <c r="AV14" s="121">
        <f t="shared" si="7"/>
        <v>26</v>
      </c>
      <c r="AW14" s="121">
        <f t="shared" si="7"/>
        <v>25</v>
      </c>
      <c r="AX14" s="121">
        <f t="shared" si="7"/>
        <v>24</v>
      </c>
      <c r="AY14" s="121">
        <f t="shared" si="7"/>
        <v>23</v>
      </c>
      <c r="AZ14" s="121">
        <f t="shared" si="7"/>
        <v>22</v>
      </c>
      <c r="BA14" s="121">
        <f t="shared" si="7"/>
        <v>21</v>
      </c>
      <c r="BB14" s="121">
        <f t="shared" si="7"/>
        <v>20</v>
      </c>
      <c r="BC14" s="121">
        <f t="shared" si="7"/>
        <v>19</v>
      </c>
      <c r="BD14" s="121">
        <f t="shared" si="7"/>
        <v>18</v>
      </c>
      <c r="BE14" s="121">
        <f t="shared" si="7"/>
        <v>17</v>
      </c>
    </row>
  </sheetData>
  <autoFilter ref="B4:D14" xr:uid="{D3E9F6EA-B0F8-492A-B90B-362BAA9F542C}"/>
  <conditionalFormatting sqref="C5:C14 F5:BE14">
    <cfRule type="cellIs" dxfId="54" priority="2" operator="lessThan">
      <formula>$A$5</formula>
    </cfRule>
  </conditionalFormatting>
  <conditionalFormatting sqref="D5:D14">
    <cfRule type="cellIs" dxfId="53" priority="1" operator="lessThan">
      <formula>$A$5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48354-A7E2-4F23-97B8-012C50357E20}">
  <dimension ref="A1:W32"/>
  <sheetViews>
    <sheetView workbookViewId="0">
      <selection activeCell="N5" sqref="N5"/>
    </sheetView>
  </sheetViews>
  <sheetFormatPr defaultRowHeight="15"/>
  <cols>
    <col min="1" max="1" width="5.5703125" style="1" bestFit="1" customWidth="1"/>
    <col min="2" max="2" width="4.5703125" bestFit="1" customWidth="1"/>
    <col min="3" max="3" width="7.7109375" bestFit="1" customWidth="1"/>
    <col min="4" max="4" width="25" bestFit="1" customWidth="1"/>
    <col min="5" max="5" width="13.28515625" bestFit="1" customWidth="1"/>
    <col min="6" max="6" width="12" bestFit="1" customWidth="1"/>
    <col min="9" max="9" width="9.140625" style="1"/>
    <col min="11" max="11" width="11.42578125" customWidth="1"/>
    <col min="12" max="12" width="12.28515625" customWidth="1"/>
    <col min="16" max="19" width="9.140625" style="1"/>
    <col min="21" max="21" width="9.140625" style="1"/>
  </cols>
  <sheetData>
    <row r="1" spans="1:23" s="43" customFormat="1" ht="45">
      <c r="A1" s="43" t="s">
        <v>121</v>
      </c>
      <c r="B1" s="43" t="s">
        <v>294</v>
      </c>
      <c r="C1" s="43" t="s">
        <v>295</v>
      </c>
      <c r="D1" s="43" t="s">
        <v>98</v>
      </c>
      <c r="E1" s="43" t="s">
        <v>303</v>
      </c>
      <c r="F1" s="43" t="s">
        <v>304</v>
      </c>
      <c r="H1" s="43" t="s">
        <v>309</v>
      </c>
      <c r="I1" s="43" t="s">
        <v>310</v>
      </c>
      <c r="K1" s="43" t="s">
        <v>311</v>
      </c>
      <c r="L1" s="43" t="s">
        <v>312</v>
      </c>
    </row>
    <row r="2" spans="1:23">
      <c r="A2" s="1" t="str">
        <f>VLOOKUP(B2,$T$3:$U$32,2,FALSE)</f>
        <v>Pick1</v>
      </c>
      <c r="B2">
        <v>1</v>
      </c>
      <c r="C2" t="s">
        <v>425</v>
      </c>
      <c r="D2" t="s">
        <v>65</v>
      </c>
      <c r="E2">
        <v>11.700000000000001</v>
      </c>
      <c r="F2">
        <v>0.92195444572928875</v>
      </c>
      <c r="G2">
        <f>VLOOKUP(INDEX('FoxSports Standings'!$A$1:$A$502,MATCH("*"&amp;D2&amp;"*",'FoxSports Standings'!$A$1:$A$502,0)),'FoxSports Standings'!$A$1:$O$474,2,FALSE)</f>
        <v>9</v>
      </c>
      <c r="H2" t="str">
        <f>IF($A$2:$A$11="Pick1",IF(MAX($G$2:$G$11)=G2,"Best",""),"")</f>
        <v/>
      </c>
      <c r="I2" s="1" t="str">
        <f>IF($A$2:$A$11="Pick1",IF(MIN($G$2:$G$11)=G2,"Worst",""),BLANK())</f>
        <v/>
      </c>
      <c r="J2">
        <f>G2-E2</f>
        <v>-2.7000000000000011</v>
      </c>
      <c r="K2" s="1" t="str">
        <f t="shared" ref="K2:K11" si="0">IF($A$2:$A$11="Pick1",IF(MAX($J$2:$J$11)=J2,"Best",""),"")</f>
        <v/>
      </c>
      <c r="L2" s="1" t="str">
        <f>IF($A$2:$A$11="Pick1",IF(MIN($J$2:$J$11)=J2,"Worst",""),"")</f>
        <v/>
      </c>
      <c r="O2" s="1"/>
      <c r="P2" s="1" t="b">
        <f>OR(NOT(H2=""),NOT(I2=""),NOT(K2=""),NOT(L2=""))</f>
        <v>0</v>
      </c>
      <c r="T2" s="1" t="s">
        <v>294</v>
      </c>
      <c r="U2" s="1" t="s">
        <v>308</v>
      </c>
      <c r="V2" s="1"/>
      <c r="W2" s="1"/>
    </row>
    <row r="3" spans="1:23">
      <c r="A3" s="1" t="str">
        <f t="shared" ref="A3:A31" si="1">VLOOKUP(B3,$T$3:$U$32,2,FALSE)</f>
        <v>Pick1</v>
      </c>
      <c r="B3">
        <v>2</v>
      </c>
      <c r="C3" t="s">
        <v>426</v>
      </c>
      <c r="D3" t="s">
        <v>50</v>
      </c>
      <c r="E3">
        <v>11.483333333333334</v>
      </c>
      <c r="F3">
        <v>0.51774081890030221</v>
      </c>
      <c r="G3" s="1">
        <f>VLOOKUP(INDEX('FoxSports Standings'!$A$1:$A$502,MATCH("*"&amp;D3&amp;"*",'FoxSports Standings'!$A$1:$A$502,0)),'FoxSports Standings'!$A$1:$O$474,2,FALSE)</f>
        <v>10</v>
      </c>
      <c r="H3" s="1" t="str">
        <f t="shared" ref="H3:H11" si="2">IF($A$2:$A$31="Pick1",IF(MAX($G$2:$G$31)=G3,"Best",""),"")</f>
        <v>Best</v>
      </c>
      <c r="I3" s="1" t="str">
        <f t="shared" ref="I3:I11" si="3">IF($A$2:$A$11="Pick1",IF(MIN($G$2:$G$11)=G3,"Worst",""),"")</f>
        <v/>
      </c>
      <c r="J3" s="1">
        <f t="shared" ref="J3:J31" si="4">G3-E3</f>
        <v>-1.4833333333333343</v>
      </c>
      <c r="K3" s="1" t="str">
        <f t="shared" si="0"/>
        <v/>
      </c>
      <c r="L3" s="1" t="str">
        <f t="shared" ref="L3:L11" si="5">IF($A$2:$A$11="Pick1",IF(MIN($J$2:$J$11)=J3,"Worst",""),"")</f>
        <v/>
      </c>
      <c r="M3" s="1" t="b">
        <f>G3&gt;MAX($G$2:G2)</f>
        <v>1</v>
      </c>
      <c r="N3" s="1" t="b">
        <f>J3&gt;MAX($J$2:J2)</f>
        <v>1</v>
      </c>
      <c r="O3" s="1"/>
      <c r="P3" s="1" t="b">
        <f t="shared" ref="P3:P31" si="6">OR(NOT(H3=""),NOT(I3=""),NOT(K3=""),NOT(L3=""))</f>
        <v>1</v>
      </c>
      <c r="T3" s="1">
        <v>1</v>
      </c>
      <c r="U3" s="1" t="s">
        <v>305</v>
      </c>
      <c r="V3" s="1"/>
      <c r="W3" s="1"/>
    </row>
    <row r="4" spans="1:23">
      <c r="A4" s="1" t="str">
        <f t="shared" si="1"/>
        <v>Pick1</v>
      </c>
      <c r="B4">
        <v>3</v>
      </c>
      <c r="C4" t="s">
        <v>302</v>
      </c>
      <c r="D4" t="s">
        <v>51</v>
      </c>
      <c r="E4">
        <v>11.383333333333333</v>
      </c>
      <c r="F4">
        <v>1.3296825017858853</v>
      </c>
      <c r="G4" s="1">
        <f>VLOOKUP(INDEX('FoxSports Standings'!$A$1:$A$502,MATCH("*"&amp;D4&amp;"*",'FoxSports Standings'!$A$1:$A$502,0)),'FoxSports Standings'!$A$1:$O$474,2,FALSE)</f>
        <v>7</v>
      </c>
      <c r="H4" s="1" t="str">
        <f t="shared" si="2"/>
        <v/>
      </c>
      <c r="I4" s="1" t="str">
        <f t="shared" si="3"/>
        <v>Worst</v>
      </c>
      <c r="J4" s="1">
        <f t="shared" si="4"/>
        <v>-4.3833333333333329</v>
      </c>
      <c r="K4" s="1" t="str">
        <f t="shared" si="0"/>
        <v/>
      </c>
      <c r="L4" s="1" t="str">
        <f t="shared" si="5"/>
        <v>Worst</v>
      </c>
      <c r="M4" s="1" t="b">
        <f>G4&gt;MAX($G$2:G3)</f>
        <v>0</v>
      </c>
      <c r="N4" s="1" t="b">
        <f>J4&gt;MAX($J$2:J3)</f>
        <v>0</v>
      </c>
      <c r="O4" s="1"/>
      <c r="P4" s="1" t="b">
        <f t="shared" si="6"/>
        <v>1</v>
      </c>
      <c r="T4" s="1">
        <v>2</v>
      </c>
      <c r="U4" s="1" t="s">
        <v>305</v>
      </c>
      <c r="V4" s="1"/>
      <c r="W4" s="1"/>
    </row>
    <row r="5" spans="1:23">
      <c r="A5" s="1" t="str">
        <f t="shared" si="1"/>
        <v>Pick1</v>
      </c>
      <c r="B5">
        <v>4</v>
      </c>
      <c r="C5" t="s">
        <v>301</v>
      </c>
      <c r="D5" t="s">
        <v>45</v>
      </c>
      <c r="E5">
        <v>9.7000000000000011</v>
      </c>
      <c r="F5">
        <v>0.95742710775633799</v>
      </c>
      <c r="G5" s="1">
        <f>VLOOKUP(INDEX('FoxSports Standings'!$A$1:$A$502,MATCH("*"&amp;D5&amp;"*",'FoxSports Standings'!$A$1:$A$502,0)),'FoxSports Standings'!$A$1:$O$474,2,FALSE)</f>
        <v>9</v>
      </c>
      <c r="H5" s="1" t="str">
        <f t="shared" si="2"/>
        <v/>
      </c>
      <c r="I5" s="1" t="str">
        <f t="shared" si="3"/>
        <v/>
      </c>
      <c r="J5" s="1">
        <f t="shared" si="4"/>
        <v>-0.70000000000000107</v>
      </c>
      <c r="K5" s="1" t="str">
        <f t="shared" si="0"/>
        <v/>
      </c>
      <c r="L5" s="1" t="str">
        <f t="shared" si="5"/>
        <v/>
      </c>
      <c r="M5" s="1" t="b">
        <f>G5&gt;MAX($G$2:G4)</f>
        <v>0</v>
      </c>
      <c r="N5" s="1" t="b">
        <f>J5&gt;MAX($J$2:J4)</f>
        <v>1</v>
      </c>
      <c r="O5" s="1"/>
      <c r="P5" s="1" t="b">
        <f t="shared" si="6"/>
        <v>0</v>
      </c>
      <c r="T5" s="1">
        <v>3</v>
      </c>
      <c r="U5" s="1" t="s">
        <v>305</v>
      </c>
      <c r="V5" s="1"/>
      <c r="W5" s="1"/>
    </row>
    <row r="6" spans="1:23">
      <c r="A6" s="1" t="str">
        <f t="shared" si="1"/>
        <v>Pick1</v>
      </c>
      <c r="B6">
        <v>5</v>
      </c>
      <c r="C6" t="s">
        <v>300</v>
      </c>
      <c r="D6" t="s">
        <v>43</v>
      </c>
      <c r="E6">
        <v>9.7333333333333325</v>
      </c>
      <c r="F6">
        <v>0.69920589878010098</v>
      </c>
      <c r="G6" s="1">
        <f>VLOOKUP(INDEX('FoxSports Standings'!$A$1:$A$502,MATCH("*"&amp;D6&amp;"*",'FoxSports Standings'!$A$1:$A$502,0)),'FoxSports Standings'!$A$1:$O$474,2,FALSE)</f>
        <v>10</v>
      </c>
      <c r="H6" s="1" t="str">
        <f t="shared" si="2"/>
        <v>Best</v>
      </c>
      <c r="I6" s="1" t="str">
        <f t="shared" si="3"/>
        <v/>
      </c>
      <c r="J6" s="1">
        <f t="shared" si="4"/>
        <v>0.2666666666666675</v>
      </c>
      <c r="K6" s="1" t="str">
        <f t="shared" si="0"/>
        <v/>
      </c>
      <c r="L6" s="1" t="str">
        <f t="shared" si="5"/>
        <v/>
      </c>
      <c r="M6" s="1" t="b">
        <f>G6&gt;MAX($G$2:G5)</f>
        <v>0</v>
      </c>
      <c r="N6" s="1" t="b">
        <f>J6&gt;MAX($J$2:J5)</f>
        <v>1</v>
      </c>
      <c r="O6" s="1"/>
      <c r="P6" s="1" t="b">
        <f t="shared" si="6"/>
        <v>1</v>
      </c>
      <c r="T6" s="1">
        <v>4</v>
      </c>
      <c r="U6" s="1" t="s">
        <v>305</v>
      </c>
      <c r="V6" s="1"/>
      <c r="W6" s="1"/>
    </row>
    <row r="7" spans="1:23">
      <c r="A7" s="1" t="str">
        <f t="shared" si="1"/>
        <v>Pick1</v>
      </c>
      <c r="B7">
        <v>6</v>
      </c>
      <c r="C7" t="s">
        <v>296</v>
      </c>
      <c r="D7" t="s">
        <v>48</v>
      </c>
      <c r="E7">
        <v>10.516666666666667</v>
      </c>
      <c r="F7">
        <v>0.93169499062491246</v>
      </c>
      <c r="G7" s="1">
        <f>VLOOKUP(INDEX('FoxSports Standings'!$A$1:$A$502,MATCH("*"&amp;D7&amp;"*",'FoxSports Standings'!$A$1:$A$502,0)),'FoxSports Standings'!$A$1:$O$474,2,FALSE)</f>
        <v>7</v>
      </c>
      <c r="H7" s="1" t="str">
        <f t="shared" si="2"/>
        <v/>
      </c>
      <c r="I7" s="1" t="str">
        <f t="shared" si="3"/>
        <v>Worst</v>
      </c>
      <c r="J7" s="1">
        <f t="shared" si="4"/>
        <v>-3.5166666666666675</v>
      </c>
      <c r="K7" s="1" t="str">
        <f t="shared" si="0"/>
        <v/>
      </c>
      <c r="L7" s="1" t="str">
        <f t="shared" si="5"/>
        <v/>
      </c>
      <c r="M7" s="1" t="b">
        <f>G7&gt;MAX($G$2:G6)</f>
        <v>0</v>
      </c>
      <c r="N7" s="1" t="b">
        <f>J7&gt;MAX($J$2:J6)</f>
        <v>0</v>
      </c>
      <c r="O7" s="1"/>
      <c r="P7" s="1" t="b">
        <f t="shared" si="6"/>
        <v>1</v>
      </c>
      <c r="T7" s="1">
        <v>5</v>
      </c>
      <c r="U7" s="1" t="s">
        <v>305</v>
      </c>
      <c r="V7" s="1"/>
      <c r="W7" s="1"/>
    </row>
    <row r="8" spans="1:23">
      <c r="A8" s="1" t="str">
        <f t="shared" si="1"/>
        <v>Pick1</v>
      </c>
      <c r="B8">
        <v>7</v>
      </c>
      <c r="C8" t="s">
        <v>297</v>
      </c>
      <c r="D8" t="s">
        <v>105</v>
      </c>
      <c r="E8">
        <v>9.4500000000000011</v>
      </c>
      <c r="F8">
        <v>1.5206906325745548</v>
      </c>
      <c r="G8" s="1">
        <f>VLOOKUP(INDEX('FoxSports Standings'!$A$1:$A$502,MATCH("*"&amp;D8&amp;"*",'FoxSports Standings'!$A$1:$A$502,0)),'FoxSports Standings'!$A$1:$O$474,2,FALSE)</f>
        <v>7</v>
      </c>
      <c r="H8" s="1" t="str">
        <f t="shared" si="2"/>
        <v/>
      </c>
      <c r="I8" s="1" t="str">
        <f t="shared" si="3"/>
        <v>Worst</v>
      </c>
      <c r="J8" s="1">
        <f t="shared" si="4"/>
        <v>-2.4500000000000011</v>
      </c>
      <c r="K8" s="1" t="str">
        <f t="shared" si="0"/>
        <v/>
      </c>
      <c r="L8" s="1" t="str">
        <f t="shared" si="5"/>
        <v/>
      </c>
      <c r="M8" s="1" t="b">
        <f>G8&gt;MAX($G$2:G7)</f>
        <v>0</v>
      </c>
      <c r="N8" s="1" t="b">
        <f>J8&gt;MAX($J$2:J7)</f>
        <v>0</v>
      </c>
      <c r="O8" s="1"/>
      <c r="P8" s="1" t="b">
        <f t="shared" si="6"/>
        <v>1</v>
      </c>
      <c r="T8" s="1">
        <v>6</v>
      </c>
      <c r="U8" s="1" t="s">
        <v>305</v>
      </c>
      <c r="V8" s="1"/>
      <c r="W8" s="1"/>
    </row>
    <row r="9" spans="1:23">
      <c r="A9" s="1" t="str">
        <f t="shared" si="1"/>
        <v>Pick1</v>
      </c>
      <c r="B9">
        <v>8</v>
      </c>
      <c r="C9" t="s">
        <v>427</v>
      </c>
      <c r="D9" t="s">
        <v>120</v>
      </c>
      <c r="E9">
        <v>10.816666666666668</v>
      </c>
      <c r="F9">
        <v>1.0960788698304806</v>
      </c>
      <c r="G9" s="1">
        <f>VLOOKUP(INDEX('FoxSports Standings'!$A$1:$A$502,MATCH("*"&amp;D9&amp;"*",'FoxSports Standings'!$A$1:$A$502,0)),'FoxSports Standings'!$A$1:$O$474,2,FALSE)</f>
        <v>8</v>
      </c>
      <c r="H9" s="1" t="str">
        <f t="shared" si="2"/>
        <v/>
      </c>
      <c r="I9" s="1" t="str">
        <f t="shared" si="3"/>
        <v/>
      </c>
      <c r="J9" s="1">
        <f t="shared" si="4"/>
        <v>-2.8166666666666682</v>
      </c>
      <c r="K9" s="1" t="str">
        <f t="shared" si="0"/>
        <v/>
      </c>
      <c r="L9" s="1" t="str">
        <f t="shared" si="5"/>
        <v/>
      </c>
      <c r="M9" s="1" t="b">
        <f>G9&gt;MAX($G$2:G8)</f>
        <v>0</v>
      </c>
      <c r="N9" s="1" t="b">
        <f>J9&gt;MAX($J$2:J8)</f>
        <v>0</v>
      </c>
      <c r="O9" s="1"/>
      <c r="P9" s="1" t="b">
        <f t="shared" si="6"/>
        <v>0</v>
      </c>
      <c r="T9" s="1">
        <v>7</v>
      </c>
      <c r="U9" s="1" t="s">
        <v>305</v>
      </c>
      <c r="V9" s="1"/>
      <c r="W9" s="1"/>
    </row>
    <row r="10" spans="1:23">
      <c r="A10" s="1" t="str">
        <f t="shared" si="1"/>
        <v>Pick1</v>
      </c>
      <c r="B10">
        <v>9</v>
      </c>
      <c r="C10" t="s">
        <v>298</v>
      </c>
      <c r="D10" t="s">
        <v>42</v>
      </c>
      <c r="E10">
        <v>8.6166666666666671</v>
      </c>
      <c r="F10">
        <v>1.2388390622765371</v>
      </c>
      <c r="G10" s="1">
        <f>VLOOKUP(INDEX('FoxSports Standings'!$A$1:$A$502,MATCH("*"&amp;D10&amp;"*",'FoxSports Standings'!$A$1:$A$502,0)),'FoxSports Standings'!$A$1:$O$474,2,FALSE)</f>
        <v>9</v>
      </c>
      <c r="H10" s="1" t="str">
        <f t="shared" si="2"/>
        <v/>
      </c>
      <c r="I10" s="1" t="str">
        <f t="shared" si="3"/>
        <v/>
      </c>
      <c r="J10" s="1">
        <f t="shared" si="4"/>
        <v>0.38333333333333286</v>
      </c>
      <c r="K10" s="1" t="str">
        <f t="shared" si="0"/>
        <v>Best</v>
      </c>
      <c r="L10" s="1" t="str">
        <f t="shared" si="5"/>
        <v/>
      </c>
      <c r="M10" s="1" t="b">
        <f>G10&gt;MAX($G$2:G9)</f>
        <v>0</v>
      </c>
      <c r="N10" s="1" t="b">
        <f>J10&gt;MAX($J$2:J9)</f>
        <v>1</v>
      </c>
      <c r="O10" s="1"/>
      <c r="P10" s="1" t="b">
        <f t="shared" si="6"/>
        <v>1</v>
      </c>
      <c r="T10" s="1">
        <v>8</v>
      </c>
      <c r="U10" s="1" t="s">
        <v>305</v>
      </c>
      <c r="V10" s="1"/>
      <c r="W10" s="1"/>
    </row>
    <row r="11" spans="1:23">
      <c r="A11" s="1" t="str">
        <f t="shared" si="1"/>
        <v>Pick1</v>
      </c>
      <c r="B11">
        <v>10</v>
      </c>
      <c r="C11" t="s">
        <v>299</v>
      </c>
      <c r="D11" t="s">
        <v>46</v>
      </c>
      <c r="E11">
        <v>8.9166666666666661</v>
      </c>
      <c r="F11">
        <v>1.0172129679778086</v>
      </c>
      <c r="G11" s="1">
        <f>VLOOKUP(INDEX('FoxSports Standings'!$A$1:$A$502,MATCH("*"&amp;D11&amp;"*",'FoxSports Standings'!$A$1:$A$502,0)),'FoxSports Standings'!$A$1:$O$474,2,FALSE)</f>
        <v>9</v>
      </c>
      <c r="H11" s="1" t="str">
        <f t="shared" si="2"/>
        <v/>
      </c>
      <c r="I11" s="1" t="str">
        <f t="shared" si="3"/>
        <v/>
      </c>
      <c r="J11" s="1">
        <f t="shared" si="4"/>
        <v>8.3333333333333925E-2</v>
      </c>
      <c r="K11" s="1" t="str">
        <f t="shared" si="0"/>
        <v/>
      </c>
      <c r="L11" s="1" t="str">
        <f t="shared" si="5"/>
        <v/>
      </c>
      <c r="M11" s="1" t="b">
        <f>G11&gt;MAX($G$2:G10)</f>
        <v>0</v>
      </c>
      <c r="N11" s="1" t="b">
        <f>J11&gt;MAX($J$2:J10)</f>
        <v>0</v>
      </c>
      <c r="O11" s="1"/>
      <c r="P11" s="1" t="b">
        <f t="shared" si="6"/>
        <v>0</v>
      </c>
      <c r="T11" s="1">
        <v>9</v>
      </c>
      <c r="U11" s="1" t="s">
        <v>305</v>
      </c>
      <c r="V11" s="1"/>
      <c r="W11" s="1"/>
    </row>
    <row r="12" spans="1:23">
      <c r="A12" s="1" t="str">
        <f t="shared" si="1"/>
        <v>Pick2</v>
      </c>
      <c r="B12">
        <v>11</v>
      </c>
      <c r="C12" t="s">
        <v>297</v>
      </c>
      <c r="D12" t="s">
        <v>62</v>
      </c>
      <c r="E12">
        <v>10.299999999999999</v>
      </c>
      <c r="F12">
        <v>1.4083086782851792</v>
      </c>
      <c r="G12" s="1">
        <f>VLOOKUP(INDEX('FoxSports Standings'!$A$1:$A$502,MATCH("*"&amp;D12&amp;"*",'FoxSports Standings'!$A$1:$A$502,0)),'FoxSports Standings'!$A$1:$O$474,2,FALSE)</f>
        <v>8</v>
      </c>
      <c r="H12" s="1" t="str">
        <f>IF($A$12:$A$21="Pick2",IF(MAX($G$12:$G$21)=G12,"Best",""),"")</f>
        <v/>
      </c>
      <c r="I12" s="1" t="str">
        <f>IF($A$12:$A$21="Pick2",IF(MIN($G$12:$G$21)=G12,"Worst",""),"")</f>
        <v/>
      </c>
      <c r="J12" s="1">
        <f t="shared" si="4"/>
        <v>-2.2999999999999989</v>
      </c>
      <c r="K12" s="1" t="str">
        <f>IF($A$12:$A$21="Pick2",IF(MAX($J$12:$J$21)=J12,"Best",""),"")</f>
        <v/>
      </c>
      <c r="L12" s="1" t="str">
        <f>IF($A$12:$A$21="Pick2",IF(MIN($J$12:$J$21)=J12,"Worst",""),"")</f>
        <v/>
      </c>
      <c r="M12" s="1" t="b">
        <f>G12&gt;MAX($G$2:G11)</f>
        <v>0</v>
      </c>
      <c r="N12" s="1" t="b">
        <f>J12&gt;MAX($J$2:J11)</f>
        <v>0</v>
      </c>
      <c r="O12" s="1"/>
      <c r="P12" s="1" t="b">
        <f t="shared" si="6"/>
        <v>0</v>
      </c>
      <c r="T12" s="1">
        <v>10</v>
      </c>
      <c r="U12" s="1" t="s">
        <v>305</v>
      </c>
      <c r="V12" s="1"/>
      <c r="W12" s="1"/>
    </row>
    <row r="13" spans="1:23">
      <c r="A13" s="1" t="str">
        <f t="shared" si="1"/>
        <v>Pick2</v>
      </c>
      <c r="B13">
        <v>12</v>
      </c>
      <c r="C13" t="s">
        <v>299</v>
      </c>
      <c r="D13" t="s">
        <v>59</v>
      </c>
      <c r="E13">
        <v>9.1</v>
      </c>
      <c r="F13">
        <v>0.7187952884282609</v>
      </c>
      <c r="G13" s="1">
        <f>VLOOKUP(INDEX('FoxSports Standings'!$A$1:$A$502,MATCH("*"&amp;D13&amp;"*",'FoxSports Standings'!$A$1:$A$502,0)),'FoxSports Standings'!$A$1:$O$474,2,FALSE)</f>
        <v>6</v>
      </c>
      <c r="H13" s="1" t="str">
        <f t="shared" ref="H13:H21" si="7">IF($A$12:$A$21="Pick2",IF(MAX($G$12:$G$21)=G13,"Best",""),"")</f>
        <v/>
      </c>
      <c r="I13" s="1" t="str">
        <f t="shared" ref="I13:I21" si="8">IF($A$12:$A$21="Pick2",IF(MIN($G$12:$G$21)=G13,"Worst",""),"")</f>
        <v/>
      </c>
      <c r="J13" s="1">
        <f t="shared" si="4"/>
        <v>-3.0999999999999996</v>
      </c>
      <c r="K13" s="1" t="str">
        <f t="shared" ref="K13:K21" si="9">IF($A$12:$A$21="Pick2",IF(MAX($J$12:$J$21)=J13,"Best",""),"")</f>
        <v/>
      </c>
      <c r="L13" s="1" t="str">
        <f t="shared" ref="L13:L21" si="10">IF($A$12:$A$21="Pick2",IF(MIN($J$12:$J$21)=J13,"Worst",""),"")</f>
        <v/>
      </c>
      <c r="M13" s="1" t="b">
        <f>G13&gt;MAX($G$2:G12)</f>
        <v>0</v>
      </c>
      <c r="N13" s="1" t="b">
        <f>J13&gt;MAX($J$2:J12)</f>
        <v>0</v>
      </c>
      <c r="P13" s="1" t="b">
        <f t="shared" si="6"/>
        <v>0</v>
      </c>
      <c r="T13" s="1">
        <v>20</v>
      </c>
      <c r="U13" s="1" t="s">
        <v>306</v>
      </c>
    </row>
    <row r="14" spans="1:23">
      <c r="A14" s="1" t="str">
        <f t="shared" si="1"/>
        <v>Pick2</v>
      </c>
      <c r="B14">
        <v>13</v>
      </c>
      <c r="C14" t="s">
        <v>302</v>
      </c>
      <c r="D14" t="s">
        <v>41</v>
      </c>
      <c r="E14">
        <v>9.5166666666666675</v>
      </c>
      <c r="F14">
        <v>0.93169499062491246</v>
      </c>
      <c r="G14" s="1">
        <f>VLOOKUP(INDEX('FoxSports Standings'!$A$1:$A$502,MATCH("*"&amp;D14&amp;"*",'FoxSports Standings'!$A$1:$A$502,0)),'FoxSports Standings'!$A$1:$O$474,2,FALSE)</f>
        <v>9</v>
      </c>
      <c r="H14" s="1" t="str">
        <f t="shared" si="7"/>
        <v>Best</v>
      </c>
      <c r="I14" s="1" t="str">
        <f t="shared" si="8"/>
        <v/>
      </c>
      <c r="J14" s="1">
        <f t="shared" si="4"/>
        <v>-0.5166666666666675</v>
      </c>
      <c r="K14" s="1" t="str">
        <f t="shared" si="9"/>
        <v>Best</v>
      </c>
      <c r="L14" s="1" t="str">
        <f t="shared" si="10"/>
        <v/>
      </c>
      <c r="M14" s="1" t="b">
        <f>G14&gt;MAX($G$2:G13)</f>
        <v>0</v>
      </c>
      <c r="N14" s="1" t="b">
        <f>J14&gt;MAX($J$2:J13)</f>
        <v>0</v>
      </c>
      <c r="P14" s="1" t="b">
        <f t="shared" si="6"/>
        <v>1</v>
      </c>
      <c r="T14" s="1">
        <v>16</v>
      </c>
      <c r="U14" s="1" t="s">
        <v>306</v>
      </c>
    </row>
    <row r="15" spans="1:23">
      <c r="A15" s="1" t="str">
        <f t="shared" si="1"/>
        <v>Pick2</v>
      </c>
      <c r="B15">
        <v>14</v>
      </c>
      <c r="C15" t="s">
        <v>298</v>
      </c>
      <c r="D15" t="s">
        <v>40</v>
      </c>
      <c r="E15">
        <v>9.2666666666666675</v>
      </c>
      <c r="F15">
        <v>0.53748384988657005</v>
      </c>
      <c r="G15" s="1">
        <f>VLOOKUP(INDEX('FoxSports Standings'!$A$1:$A$502,MATCH("*"&amp;D15&amp;"*",'FoxSports Standings'!$A$1:$A$502,0)),'FoxSports Standings'!$A$1:$O$474,2,FALSE)</f>
        <v>5</v>
      </c>
      <c r="H15" s="1" t="str">
        <f t="shared" si="7"/>
        <v/>
      </c>
      <c r="I15" s="1" t="str">
        <f t="shared" si="8"/>
        <v>Worst</v>
      </c>
      <c r="J15" s="1">
        <f t="shared" si="4"/>
        <v>-4.2666666666666675</v>
      </c>
      <c r="K15" s="1" t="str">
        <f t="shared" si="9"/>
        <v/>
      </c>
      <c r="L15" s="1" t="str">
        <f t="shared" si="10"/>
        <v>Worst</v>
      </c>
      <c r="M15" s="1" t="b">
        <f>G15&gt;MAX($G$2:G14)</f>
        <v>0</v>
      </c>
      <c r="N15" s="1" t="b">
        <f>J15&gt;MAX($J$2:J14)</f>
        <v>0</v>
      </c>
      <c r="P15" s="1" t="b">
        <f t="shared" si="6"/>
        <v>1</v>
      </c>
      <c r="T15" s="1">
        <v>13</v>
      </c>
      <c r="U15" s="1" t="s">
        <v>306</v>
      </c>
    </row>
    <row r="16" spans="1:23">
      <c r="A16" s="1" t="str">
        <f t="shared" si="1"/>
        <v>Pick2</v>
      </c>
      <c r="B16">
        <v>15</v>
      </c>
      <c r="C16" t="s">
        <v>300</v>
      </c>
      <c r="D16" t="s">
        <v>52</v>
      </c>
      <c r="E16">
        <v>9.6833333333333336</v>
      </c>
      <c r="F16">
        <v>1.0960788698304864</v>
      </c>
      <c r="G16" s="1">
        <f>VLOOKUP(INDEX('FoxSports Standings'!$A$1:$A$502,MATCH("*"&amp;D16&amp;"*",'FoxSports Standings'!$A$1:$A$502,0)),'FoxSports Standings'!$A$1:$O$474,2,FALSE)</f>
        <v>6</v>
      </c>
      <c r="H16" s="1" t="str">
        <f t="shared" si="7"/>
        <v/>
      </c>
      <c r="I16" s="1" t="str">
        <f t="shared" si="8"/>
        <v/>
      </c>
      <c r="J16" s="1">
        <f t="shared" si="4"/>
        <v>-3.6833333333333336</v>
      </c>
      <c r="K16" s="1" t="str">
        <f t="shared" si="9"/>
        <v/>
      </c>
      <c r="L16" s="1" t="str">
        <f t="shared" si="10"/>
        <v/>
      </c>
      <c r="M16" s="1" t="b">
        <f>G16&gt;MAX($G$2:G15)</f>
        <v>0</v>
      </c>
      <c r="N16" s="1" t="b">
        <f>J16&gt;MAX($J$2:J15)</f>
        <v>0</v>
      </c>
      <c r="P16" s="1" t="b">
        <f t="shared" si="6"/>
        <v>0</v>
      </c>
      <c r="T16" s="1">
        <v>18</v>
      </c>
      <c r="U16" s="1" t="s">
        <v>306</v>
      </c>
    </row>
    <row r="17" spans="1:21">
      <c r="A17" s="1" t="str">
        <f t="shared" si="1"/>
        <v>Pick2</v>
      </c>
      <c r="B17">
        <v>16</v>
      </c>
      <c r="C17" t="s">
        <v>426</v>
      </c>
      <c r="D17" t="s">
        <v>64</v>
      </c>
      <c r="E17">
        <v>8.5499999999999989</v>
      </c>
      <c r="F17">
        <v>1.2433154601038903</v>
      </c>
      <c r="G17" s="1">
        <f>VLOOKUP(INDEX('FoxSports Standings'!$A$1:$A$502,MATCH("*"&amp;D17&amp;"*",'FoxSports Standings'!$A$1:$A$502,0)),'FoxSports Standings'!$A$1:$O$474,2,FALSE)</f>
        <v>7</v>
      </c>
      <c r="H17" s="1" t="str">
        <f t="shared" si="7"/>
        <v/>
      </c>
      <c r="I17" s="1" t="str">
        <f t="shared" si="8"/>
        <v/>
      </c>
      <c r="J17" s="1">
        <f t="shared" si="4"/>
        <v>-1.5499999999999989</v>
      </c>
      <c r="K17" s="1" t="str">
        <f t="shared" si="9"/>
        <v/>
      </c>
      <c r="L17" s="1" t="str">
        <f t="shared" si="10"/>
        <v/>
      </c>
      <c r="M17" s="1" t="b">
        <f>G17&gt;MAX($G$2:G16)</f>
        <v>0</v>
      </c>
      <c r="N17" s="1" t="b">
        <f>J17&gt;MAX($J$2:J16)</f>
        <v>0</v>
      </c>
      <c r="P17" s="1" t="b">
        <f t="shared" si="6"/>
        <v>0</v>
      </c>
      <c r="T17" s="1">
        <v>15</v>
      </c>
      <c r="U17" s="1" t="s">
        <v>306</v>
      </c>
    </row>
    <row r="18" spans="1:21">
      <c r="A18" s="1" t="str">
        <f t="shared" si="1"/>
        <v>Pick2</v>
      </c>
      <c r="B18">
        <v>17</v>
      </c>
      <c r="C18" t="s">
        <v>427</v>
      </c>
      <c r="D18" t="s">
        <v>129</v>
      </c>
      <c r="E18">
        <v>8.5499999999999989</v>
      </c>
      <c r="F18">
        <v>0.46097722286464432</v>
      </c>
      <c r="G18" s="1">
        <f>VLOOKUP(INDEX('FoxSports Standings'!$A$1:$A$502,MATCH("*"&amp;D18&amp;"*",'FoxSports Standings'!$A$1:$A$502,0)),'FoxSports Standings'!$A$1:$O$474,2,FALSE)</f>
        <v>6</v>
      </c>
      <c r="H18" s="1" t="str">
        <f t="shared" si="7"/>
        <v/>
      </c>
      <c r="I18" s="1" t="str">
        <f t="shared" si="8"/>
        <v/>
      </c>
      <c r="J18" s="1">
        <f t="shared" si="4"/>
        <v>-2.5499999999999989</v>
      </c>
      <c r="K18" s="1" t="str">
        <f t="shared" si="9"/>
        <v/>
      </c>
      <c r="L18" s="1" t="str">
        <f t="shared" si="10"/>
        <v/>
      </c>
      <c r="M18" s="1" t="b">
        <f>G18&gt;MAX($G$2:G17)</f>
        <v>0</v>
      </c>
      <c r="N18" s="1" t="b">
        <f>J18&gt;MAX($J$2:J17)</f>
        <v>0</v>
      </c>
      <c r="P18" s="1" t="b">
        <f t="shared" si="6"/>
        <v>0</v>
      </c>
      <c r="T18" s="1">
        <v>19</v>
      </c>
      <c r="U18" s="1" t="s">
        <v>306</v>
      </c>
    </row>
    <row r="19" spans="1:21">
      <c r="A19" s="1" t="str">
        <f t="shared" si="1"/>
        <v>Pick2</v>
      </c>
      <c r="B19">
        <v>18</v>
      </c>
      <c r="C19" t="s">
        <v>301</v>
      </c>
      <c r="D19" t="s">
        <v>54</v>
      </c>
      <c r="E19">
        <v>7.7666666666666666</v>
      </c>
      <c r="F19">
        <v>1.3437096247164249</v>
      </c>
      <c r="G19" s="1">
        <f>VLOOKUP(INDEX('FoxSports Standings'!$A$1:$A$502,MATCH("*"&amp;D19&amp;"*",'FoxSports Standings'!$A$1:$A$502,0)),'FoxSports Standings'!$A$1:$O$474,2,FALSE)</f>
        <v>6</v>
      </c>
      <c r="H19" s="1" t="str">
        <f t="shared" si="7"/>
        <v/>
      </c>
      <c r="I19" s="1" t="str">
        <f t="shared" si="8"/>
        <v/>
      </c>
      <c r="J19" s="1">
        <f t="shared" si="4"/>
        <v>-1.7666666666666666</v>
      </c>
      <c r="K19" s="1" t="str">
        <f t="shared" si="9"/>
        <v/>
      </c>
      <c r="L19" s="1" t="str">
        <f t="shared" si="10"/>
        <v/>
      </c>
      <c r="M19" s="1" t="b">
        <f>G19&gt;MAX($G$2:G18)</f>
        <v>0</v>
      </c>
      <c r="N19" s="1" t="b">
        <f>J19&gt;MAX($J$2:J18)</f>
        <v>0</v>
      </c>
      <c r="P19" s="1" t="b">
        <f t="shared" si="6"/>
        <v>0</v>
      </c>
      <c r="T19" s="1">
        <v>11</v>
      </c>
      <c r="U19" s="1" t="s">
        <v>306</v>
      </c>
    </row>
    <row r="20" spans="1:21">
      <c r="A20" s="1" t="str">
        <f t="shared" si="1"/>
        <v>Pick2</v>
      </c>
      <c r="B20">
        <v>19</v>
      </c>
      <c r="C20" t="s">
        <v>296</v>
      </c>
      <c r="D20" t="s">
        <v>122</v>
      </c>
      <c r="E20">
        <v>8.6</v>
      </c>
      <c r="F20">
        <v>0.81649658092772615</v>
      </c>
      <c r="G20" s="1">
        <f>VLOOKUP(INDEX('FoxSports Standings'!$A$1:$A$502,MATCH("*"&amp;D20&amp;"*",'FoxSports Standings'!$A$1:$A$502,0)),'FoxSports Standings'!$A$1:$O$474,2,FALSE)</f>
        <v>6</v>
      </c>
      <c r="H20" s="1" t="str">
        <f t="shared" si="7"/>
        <v/>
      </c>
      <c r="I20" s="1" t="str">
        <f t="shared" si="8"/>
        <v/>
      </c>
      <c r="J20" s="1">
        <f t="shared" si="4"/>
        <v>-2.5999999999999996</v>
      </c>
      <c r="K20" s="1" t="str">
        <f t="shared" si="9"/>
        <v/>
      </c>
      <c r="L20" s="1" t="str">
        <f t="shared" si="10"/>
        <v/>
      </c>
      <c r="M20" s="1" t="b">
        <f>G20&gt;MAX($G$2:G19)</f>
        <v>0</v>
      </c>
      <c r="N20" s="1" t="b">
        <f>J20&gt;MAX($J$2:J19)</f>
        <v>0</v>
      </c>
      <c r="P20" s="1" t="b">
        <f t="shared" si="6"/>
        <v>0</v>
      </c>
      <c r="T20" s="1">
        <v>17</v>
      </c>
      <c r="U20" s="1" t="s">
        <v>306</v>
      </c>
    </row>
    <row r="21" spans="1:21">
      <c r="A21" s="1" t="str">
        <f t="shared" si="1"/>
        <v>Pick2</v>
      </c>
      <c r="B21">
        <v>20</v>
      </c>
      <c r="C21" t="s">
        <v>425</v>
      </c>
      <c r="D21" t="s">
        <v>61</v>
      </c>
      <c r="E21">
        <v>8.2166666666666668</v>
      </c>
      <c r="F21">
        <v>0.60667582410670995</v>
      </c>
      <c r="G21" s="1">
        <f>VLOOKUP(INDEX('FoxSports Standings'!$A$1:$A$502,MATCH("*"&amp;D21&amp;"*",'FoxSports Standings'!$A$1:$A$502,0)),'FoxSports Standings'!$A$1:$O$474,2,FALSE)</f>
        <v>7</v>
      </c>
      <c r="H21" s="1" t="str">
        <f t="shared" si="7"/>
        <v/>
      </c>
      <c r="I21" s="1" t="str">
        <f t="shared" si="8"/>
        <v/>
      </c>
      <c r="J21" s="1">
        <f t="shared" si="4"/>
        <v>-1.2166666666666668</v>
      </c>
      <c r="K21" s="1" t="str">
        <f t="shared" si="9"/>
        <v/>
      </c>
      <c r="L21" s="1" t="str">
        <f t="shared" si="10"/>
        <v/>
      </c>
      <c r="M21" s="1" t="b">
        <f>G21&gt;MAX($G$2:G20)</f>
        <v>0</v>
      </c>
      <c r="N21" s="1" t="b">
        <f>J21&gt;MAX($J$2:J20)</f>
        <v>0</v>
      </c>
      <c r="P21" s="1" t="b">
        <f t="shared" si="6"/>
        <v>0</v>
      </c>
      <c r="T21" s="1">
        <v>14</v>
      </c>
      <c r="U21" s="1" t="s">
        <v>306</v>
      </c>
    </row>
    <row r="22" spans="1:21">
      <c r="A22" s="1" t="str">
        <f t="shared" si="1"/>
        <v>Pick3</v>
      </c>
      <c r="B22">
        <v>21</v>
      </c>
      <c r="C22" t="s">
        <v>427</v>
      </c>
      <c r="D22" t="s">
        <v>49</v>
      </c>
      <c r="E22">
        <v>8.2666666666666675</v>
      </c>
      <c r="F22">
        <v>0.78881063774661553</v>
      </c>
      <c r="G22" s="1">
        <f>VLOOKUP(INDEX('FoxSports Standings'!$A$1:$A$502,MATCH("*"&amp;D22&amp;"*",'FoxSports Standings'!$A$1:$A$502,0)),'FoxSports Standings'!$A$1:$O$474,2,FALSE)</f>
        <v>10</v>
      </c>
      <c r="H22" s="1" t="str">
        <f>IF($A$22:$A$31="Pick3",IF(MAX($G$22:$G$31)=G22,"Best",""),"")</f>
        <v>Best</v>
      </c>
      <c r="I22" s="1" t="str">
        <f>IF($A$22:$A$31="Pick3",IF(MIN($G$22:$G$31)=G22,"Worst",""),"")</f>
        <v/>
      </c>
      <c r="J22" s="1">
        <f t="shared" si="4"/>
        <v>1.7333333333333325</v>
      </c>
      <c r="K22" s="1" t="str">
        <f>IF($A$22:$A$31="Pick3",IF(MAX($J$22:$J$31)=J22,"Best",""),"")</f>
        <v>Best</v>
      </c>
      <c r="L22" s="1" t="str">
        <f>IF($A$22:$A$31="Pick3",IF(MIN($J$22:$J$31)=J22,"Worst",""),"")</f>
        <v/>
      </c>
      <c r="M22" s="1" t="b">
        <f>G22&gt;MAX($G$2:G21)</f>
        <v>0</v>
      </c>
      <c r="N22" s="1" t="b">
        <f>J22&gt;MAX($J$2:J21)</f>
        <v>1</v>
      </c>
      <c r="P22" s="1" t="b">
        <f t="shared" si="6"/>
        <v>1</v>
      </c>
      <c r="T22" s="1">
        <v>12</v>
      </c>
      <c r="U22" s="1" t="s">
        <v>306</v>
      </c>
    </row>
    <row r="23" spans="1:21">
      <c r="A23" s="1" t="str">
        <f t="shared" si="1"/>
        <v>Pick3</v>
      </c>
      <c r="B23">
        <v>22</v>
      </c>
      <c r="C23" t="s">
        <v>296</v>
      </c>
      <c r="D23" t="s">
        <v>57</v>
      </c>
      <c r="E23">
        <v>7</v>
      </c>
      <c r="F23">
        <v>0.81649658092772603</v>
      </c>
      <c r="G23" s="1">
        <f>VLOOKUP(INDEX('FoxSports Standings'!$A$1:$A$502,MATCH("*"&amp;D23&amp;"*",'FoxSports Standings'!$A$1:$A$502,0)),'FoxSports Standings'!$A$1:$O$474,2,FALSE)</f>
        <v>4</v>
      </c>
      <c r="H23" s="1" t="str">
        <f t="shared" ref="H23:H31" si="11">IF($A$22:$A$31="Pick3",IF(MAX($G$22:$G$31)=G23,"Best",""),"")</f>
        <v/>
      </c>
      <c r="I23" s="1" t="str">
        <f t="shared" ref="I23:I31" si="12">IF($A$22:$A$31="Pick3",IF(MIN($G$22:$G$31)=G23,"Worst",""),"")</f>
        <v/>
      </c>
      <c r="J23" s="1">
        <f t="shared" si="4"/>
        <v>-3</v>
      </c>
      <c r="K23" s="1" t="str">
        <f t="shared" ref="K23:K31" si="13">IF($A$22:$A$31="Pick3",IF(MAX($J$22:$J$31)=J23,"Best",""),"")</f>
        <v/>
      </c>
      <c r="L23" s="1" t="str">
        <f t="shared" ref="L23:L31" si="14">IF($A$22:$A$31="Pick3",IF(MIN($J$22:$J$31)=J23,"Worst",""),"")</f>
        <v/>
      </c>
      <c r="M23" s="1" t="b">
        <f>G23&gt;MAX($G$2:G22)</f>
        <v>0</v>
      </c>
      <c r="N23" s="1" t="b">
        <f>J23&gt;MAX($J$2:J22)</f>
        <v>0</v>
      </c>
      <c r="P23" s="1" t="b">
        <f t="shared" si="6"/>
        <v>0</v>
      </c>
      <c r="T23" s="1">
        <v>26</v>
      </c>
      <c r="U23" s="1" t="s">
        <v>307</v>
      </c>
    </row>
    <row r="24" spans="1:21">
      <c r="A24" s="1" t="str">
        <f t="shared" si="1"/>
        <v>Pick3</v>
      </c>
      <c r="B24">
        <v>23</v>
      </c>
      <c r="C24" t="s">
        <v>298</v>
      </c>
      <c r="D24" t="s">
        <v>55</v>
      </c>
      <c r="E24">
        <v>6.75</v>
      </c>
      <c r="F24">
        <v>1.4068285846778443</v>
      </c>
      <c r="G24" s="1">
        <f>VLOOKUP(INDEX('FoxSports Standings'!$A$1:$A$502,MATCH("*"&amp;D24&amp;"*",'FoxSports Standings'!$A$1:$A$502,0)),'FoxSports Standings'!$A$1:$O$474,2,FALSE)</f>
        <v>5</v>
      </c>
      <c r="H24" s="1" t="str">
        <f t="shared" si="11"/>
        <v/>
      </c>
      <c r="I24" s="1" t="str">
        <f t="shared" si="12"/>
        <v/>
      </c>
      <c r="J24" s="1">
        <f t="shared" si="4"/>
        <v>-1.75</v>
      </c>
      <c r="K24" s="1" t="str">
        <f t="shared" si="13"/>
        <v/>
      </c>
      <c r="L24" s="1" t="str">
        <f t="shared" si="14"/>
        <v/>
      </c>
      <c r="M24" s="1" t="b">
        <f>G24&gt;MAX($G$2:G23)</f>
        <v>0</v>
      </c>
      <c r="N24" s="1" t="b">
        <f>J24&gt;MAX($J$2:J23)</f>
        <v>0</v>
      </c>
      <c r="P24" s="1" t="b">
        <f t="shared" si="6"/>
        <v>0</v>
      </c>
      <c r="T24" s="1">
        <v>29</v>
      </c>
      <c r="U24" s="1" t="s">
        <v>307</v>
      </c>
    </row>
    <row r="25" spans="1:21">
      <c r="A25" s="1" t="str">
        <f t="shared" si="1"/>
        <v>Pick3</v>
      </c>
      <c r="B25">
        <v>24</v>
      </c>
      <c r="C25" t="s">
        <v>299</v>
      </c>
      <c r="D25" t="s">
        <v>63</v>
      </c>
      <c r="E25">
        <v>6.6499999999999995</v>
      </c>
      <c r="F25">
        <v>0.93763887860234829</v>
      </c>
      <c r="G25" s="1">
        <f>VLOOKUP(INDEX('FoxSports Standings'!$A$1:$A$502,MATCH("*"&amp;D25&amp;"*",'FoxSports Standings'!$A$1:$A$502,0)),'FoxSports Standings'!$A$1:$O$474,2,FALSE)</f>
        <v>4</v>
      </c>
      <c r="H25" s="1" t="str">
        <f t="shared" si="11"/>
        <v/>
      </c>
      <c r="I25" s="1" t="str">
        <f t="shared" si="12"/>
        <v/>
      </c>
      <c r="J25" s="1">
        <f t="shared" si="4"/>
        <v>-2.6499999999999995</v>
      </c>
      <c r="K25" s="1" t="str">
        <f t="shared" si="13"/>
        <v/>
      </c>
      <c r="L25" s="1" t="str">
        <f t="shared" si="14"/>
        <v/>
      </c>
      <c r="M25" s="1" t="b">
        <f>G25&gt;MAX($G$2:G24)</f>
        <v>0</v>
      </c>
      <c r="N25" s="1" t="b">
        <f>J25&gt;MAX($J$2:J24)</f>
        <v>0</v>
      </c>
      <c r="P25" s="1" t="b">
        <f t="shared" si="6"/>
        <v>0</v>
      </c>
      <c r="T25" s="1">
        <v>30</v>
      </c>
      <c r="U25" s="1" t="s">
        <v>307</v>
      </c>
    </row>
    <row r="26" spans="1:21">
      <c r="A26" s="1" t="str">
        <f t="shared" si="1"/>
        <v>Pick3</v>
      </c>
      <c r="B26">
        <v>25</v>
      </c>
      <c r="C26" t="s">
        <v>301</v>
      </c>
      <c r="D26" t="s">
        <v>106</v>
      </c>
      <c r="E26">
        <v>6.1000000000000005</v>
      </c>
      <c r="F26">
        <v>1.5438048235879209</v>
      </c>
      <c r="G26" s="1">
        <f>VLOOKUP(INDEX('FoxSports Standings'!$A$1:$A$502,MATCH("*"&amp;D26&amp;"*",'FoxSports Standings'!$A$1:$A$502,0)),'FoxSports Standings'!$A$1:$O$474,2,FALSE)</f>
        <v>6</v>
      </c>
      <c r="H26" s="1" t="str">
        <f t="shared" si="11"/>
        <v/>
      </c>
      <c r="I26" s="1" t="str">
        <f t="shared" si="12"/>
        <v/>
      </c>
      <c r="J26" s="1">
        <f t="shared" si="4"/>
        <v>-0.10000000000000053</v>
      </c>
      <c r="K26" s="1" t="str">
        <f t="shared" si="13"/>
        <v/>
      </c>
      <c r="L26" s="1" t="str">
        <f t="shared" si="14"/>
        <v/>
      </c>
      <c r="M26" s="1" t="b">
        <f>G26&gt;MAX($G$2:G25)</f>
        <v>0</v>
      </c>
      <c r="N26" s="1" t="b">
        <f>J26&gt;MAX($J$2:J25)</f>
        <v>0</v>
      </c>
      <c r="P26" s="1" t="b">
        <f t="shared" si="6"/>
        <v>0</v>
      </c>
      <c r="T26" s="1">
        <v>25</v>
      </c>
      <c r="U26" s="1" t="s">
        <v>307</v>
      </c>
    </row>
    <row r="27" spans="1:21">
      <c r="A27" s="1" t="str">
        <f t="shared" si="1"/>
        <v>Pick3</v>
      </c>
      <c r="B27">
        <v>26</v>
      </c>
      <c r="C27" t="s">
        <v>425</v>
      </c>
      <c r="D27" t="s">
        <v>66</v>
      </c>
      <c r="E27">
        <v>6.1833333333333336</v>
      </c>
      <c r="F27">
        <v>1.2116334245783857</v>
      </c>
      <c r="G27" s="1">
        <f>VLOOKUP(INDEX('FoxSports Standings'!$A$1:$A$502,MATCH("*"&amp;D27&amp;"*",'FoxSports Standings'!$A$1:$A$502,0)),'FoxSports Standings'!$A$1:$O$474,2,FALSE)</f>
        <v>1</v>
      </c>
      <c r="H27" s="1" t="str">
        <f t="shared" si="11"/>
        <v/>
      </c>
      <c r="I27" s="1" t="str">
        <f t="shared" si="12"/>
        <v>Worst</v>
      </c>
      <c r="J27" s="1">
        <f t="shared" si="4"/>
        <v>-5.1833333333333336</v>
      </c>
      <c r="K27" s="1" t="str">
        <f t="shared" si="13"/>
        <v/>
      </c>
      <c r="L27" s="1" t="str">
        <f t="shared" si="14"/>
        <v>Worst</v>
      </c>
      <c r="M27" s="1" t="b">
        <f>G27&gt;MAX($G$2:G26)</f>
        <v>0</v>
      </c>
      <c r="N27" s="1" t="b">
        <f>J27&gt;MAX($J$2:J26)</f>
        <v>0</v>
      </c>
      <c r="P27" s="1" t="b">
        <f t="shared" si="6"/>
        <v>1</v>
      </c>
      <c r="T27" s="1">
        <v>27</v>
      </c>
      <c r="U27" s="1" t="s">
        <v>307</v>
      </c>
    </row>
    <row r="28" spans="1:21">
      <c r="A28" s="1" t="str">
        <f t="shared" si="1"/>
        <v>Pick3</v>
      </c>
      <c r="B28">
        <v>27</v>
      </c>
      <c r="C28" t="s">
        <v>300</v>
      </c>
      <c r="D28" t="s">
        <v>128</v>
      </c>
      <c r="E28">
        <v>5.4666666666666659</v>
      </c>
      <c r="F28">
        <v>1.22020034784821</v>
      </c>
      <c r="G28" s="1">
        <f>VLOOKUP(INDEX('FoxSports Standings'!$A$1:$A$502,MATCH("*"&amp;D28&amp;"*",'FoxSports Standings'!$A$1:$A$502,0)),'FoxSports Standings'!$A$1:$O$474,2,FALSE)</f>
        <v>6</v>
      </c>
      <c r="H28" s="1" t="str">
        <f t="shared" si="11"/>
        <v/>
      </c>
      <c r="I28" s="1" t="str">
        <f t="shared" si="12"/>
        <v/>
      </c>
      <c r="J28" s="1">
        <f t="shared" si="4"/>
        <v>0.5333333333333341</v>
      </c>
      <c r="K28" s="1" t="str">
        <f t="shared" si="13"/>
        <v/>
      </c>
      <c r="L28" s="1" t="str">
        <f t="shared" si="14"/>
        <v/>
      </c>
      <c r="M28" s="1" t="b">
        <f>G28&gt;MAX($G$2:G27)</f>
        <v>0</v>
      </c>
      <c r="N28" s="1" t="b">
        <f>J28&gt;MAX($J$2:J27)</f>
        <v>0</v>
      </c>
      <c r="P28" s="1" t="b">
        <f t="shared" si="6"/>
        <v>0</v>
      </c>
      <c r="T28" s="1">
        <v>22</v>
      </c>
      <c r="U28" s="1" t="s">
        <v>307</v>
      </c>
    </row>
    <row r="29" spans="1:21">
      <c r="A29" s="1" t="str">
        <f t="shared" si="1"/>
        <v>Pick3</v>
      </c>
      <c r="B29">
        <v>28</v>
      </c>
      <c r="C29" t="s">
        <v>297</v>
      </c>
      <c r="D29" t="s">
        <v>60</v>
      </c>
      <c r="E29">
        <v>5.3500000000000005</v>
      </c>
      <c r="F29">
        <v>1.1161690433502107</v>
      </c>
      <c r="G29" s="1">
        <f>VLOOKUP(INDEX('FoxSports Standings'!$A$1:$A$502,MATCH("*"&amp;D29&amp;"*",'FoxSports Standings'!$A$1:$A$502,0)),'FoxSports Standings'!$A$1:$O$474,2,FALSE)</f>
        <v>6</v>
      </c>
      <c r="H29" s="1" t="str">
        <f t="shared" si="11"/>
        <v/>
      </c>
      <c r="I29" s="1" t="str">
        <f t="shared" si="12"/>
        <v/>
      </c>
      <c r="J29" s="1">
        <f t="shared" si="4"/>
        <v>0.64999999999999947</v>
      </c>
      <c r="K29" s="1" t="str">
        <f t="shared" si="13"/>
        <v/>
      </c>
      <c r="L29" s="1" t="str">
        <f t="shared" si="14"/>
        <v/>
      </c>
      <c r="M29" s="1" t="b">
        <f>G29&gt;MAX($G$2:G28)</f>
        <v>0</v>
      </c>
      <c r="N29" s="1" t="b">
        <f>J29&gt;MAX($J$2:J28)</f>
        <v>0</v>
      </c>
      <c r="P29" s="1" t="b">
        <f t="shared" si="6"/>
        <v>0</v>
      </c>
      <c r="T29" s="1">
        <v>28</v>
      </c>
      <c r="U29" s="1" t="s">
        <v>307</v>
      </c>
    </row>
    <row r="30" spans="1:21">
      <c r="A30" s="1" t="str">
        <f t="shared" si="1"/>
        <v>Pick3</v>
      </c>
      <c r="B30">
        <v>29</v>
      </c>
      <c r="C30" t="s">
        <v>426</v>
      </c>
      <c r="D30" t="s">
        <v>123</v>
      </c>
      <c r="E30">
        <v>4.7666666666666666</v>
      </c>
      <c r="F30">
        <v>1.0027739304327556</v>
      </c>
      <c r="G30" s="1">
        <f>VLOOKUP(INDEX('FoxSports Standings'!$A$1:$A$502,MATCH("*"&amp;D30&amp;"*",'FoxSports Standings'!$A$1:$A$502,0)),'FoxSports Standings'!$A$1:$O$474,2,FALSE)</f>
        <v>3</v>
      </c>
      <c r="H30" s="1" t="str">
        <f t="shared" si="11"/>
        <v/>
      </c>
      <c r="I30" s="1" t="str">
        <f t="shared" si="12"/>
        <v/>
      </c>
      <c r="J30" s="1">
        <f t="shared" si="4"/>
        <v>-1.7666666666666666</v>
      </c>
      <c r="K30" s="1" t="str">
        <f t="shared" si="13"/>
        <v/>
      </c>
      <c r="L30" s="1" t="str">
        <f t="shared" si="14"/>
        <v/>
      </c>
      <c r="M30" s="1" t="b">
        <f>G30&gt;MAX(G2:G29)</f>
        <v>0</v>
      </c>
      <c r="N30" s="1" t="b">
        <f>J30&gt;MAX($J$2:J29)</f>
        <v>0</v>
      </c>
      <c r="P30" s="1" t="b">
        <f t="shared" si="6"/>
        <v>0</v>
      </c>
      <c r="T30" s="1">
        <v>21</v>
      </c>
      <c r="U30" s="1" t="s">
        <v>307</v>
      </c>
    </row>
    <row r="31" spans="1:21">
      <c r="A31" s="1" t="str">
        <f t="shared" si="1"/>
        <v>Pick3</v>
      </c>
      <c r="B31">
        <v>30</v>
      </c>
      <c r="C31" t="s">
        <v>302</v>
      </c>
      <c r="D31" t="s">
        <v>53</v>
      </c>
      <c r="E31">
        <v>3.9833333333333329</v>
      </c>
      <c r="F31">
        <v>1.1407843305765086</v>
      </c>
      <c r="G31" s="1">
        <f>VLOOKUP(INDEX('FoxSports Standings'!$A$1:$A$502,MATCH("*"&amp;D31&amp;"*",'FoxSports Standings'!$A$1:$A$502,0)),'FoxSports Standings'!$A$1:$O$474,2,FALSE)</f>
        <v>2</v>
      </c>
      <c r="H31" s="1" t="str">
        <f t="shared" si="11"/>
        <v/>
      </c>
      <c r="I31" s="1" t="str">
        <f t="shared" si="12"/>
        <v/>
      </c>
      <c r="J31" s="1">
        <f t="shared" si="4"/>
        <v>-1.9833333333333329</v>
      </c>
      <c r="K31" s="1" t="str">
        <f t="shared" si="13"/>
        <v/>
      </c>
      <c r="L31" s="1" t="str">
        <f t="shared" si="14"/>
        <v/>
      </c>
      <c r="M31" s="1" t="b">
        <f>G31&gt;MAX(G3:G30)</f>
        <v>0</v>
      </c>
      <c r="N31" s="1" t="b">
        <f>J31&gt;MAX($J$2:J30)</f>
        <v>0</v>
      </c>
      <c r="P31" s="1" t="b">
        <f t="shared" si="6"/>
        <v>0</v>
      </c>
      <c r="T31" s="1">
        <v>23</v>
      </c>
      <c r="U31" s="1" t="s">
        <v>307</v>
      </c>
    </row>
    <row r="32" spans="1:21">
      <c r="T32" s="1">
        <v>24</v>
      </c>
      <c r="U32" s="1" t="s">
        <v>307</v>
      </c>
    </row>
  </sheetData>
  <autoFilter ref="A1:P31" xr:uid="{6E1D033C-6C7D-4B69-9372-69D3020DB435}"/>
  <phoneticPr fontId="6" type="noConversion"/>
  <conditionalFormatting sqref="C2:L31">
    <cfRule type="cellIs" dxfId="52" priority="4" operator="equal">
      <formula>"Worst"</formula>
    </cfRule>
    <cfRule type="cellIs" dxfId="51" priority="5" operator="equal">
      <formula>"Best"</formula>
    </cfRule>
  </conditionalFormatting>
  <conditionalFormatting sqref="N2:N31">
    <cfRule type="cellIs" dxfId="50" priority="2" operator="equal">
      <formula>TRUE</formula>
    </cfRule>
  </conditionalFormatting>
  <conditionalFormatting sqref="M2:M31">
    <cfRule type="cellIs" dxfId="49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DADF5-7DF9-4248-AFA6-CDF78D8FAEA9}">
  <dimension ref="A1:B11"/>
  <sheetViews>
    <sheetView workbookViewId="0">
      <selection activeCell="B9" sqref="B9"/>
    </sheetView>
  </sheetViews>
  <sheetFormatPr defaultRowHeight="15"/>
  <cols>
    <col min="1" max="1" width="11.7109375" bestFit="1" customWidth="1"/>
  </cols>
  <sheetData>
    <row r="1" spans="1:2" s="1" customFormat="1">
      <c r="A1" s="1" t="s">
        <v>292</v>
      </c>
      <c r="B1" s="1" t="s">
        <v>290</v>
      </c>
    </row>
    <row r="2" spans="1:2">
      <c r="A2" t="s">
        <v>30</v>
      </c>
    </row>
    <row r="3" spans="1:2">
      <c r="A3" t="s">
        <v>28</v>
      </c>
      <c r="B3" t="s">
        <v>293</v>
      </c>
    </row>
    <row r="4" spans="1:2">
      <c r="A4" t="s">
        <v>24</v>
      </c>
      <c r="B4" t="s">
        <v>293</v>
      </c>
    </row>
    <row r="5" spans="1:2">
      <c r="A5" t="s">
        <v>31</v>
      </c>
    </row>
    <row r="6" spans="1:2">
      <c r="A6" t="s">
        <v>111</v>
      </c>
      <c r="B6" t="s">
        <v>291</v>
      </c>
    </row>
    <row r="7" spans="1:2">
      <c r="A7" t="s">
        <v>29</v>
      </c>
      <c r="B7" t="s">
        <v>293</v>
      </c>
    </row>
    <row r="8" spans="1:2">
      <c r="A8" t="s">
        <v>119</v>
      </c>
      <c r="B8" t="s">
        <v>293</v>
      </c>
    </row>
    <row r="9" spans="1:2">
      <c r="A9" t="s">
        <v>25</v>
      </c>
      <c r="B9" t="s">
        <v>293</v>
      </c>
    </row>
    <row r="10" spans="1:2">
      <c r="A10" t="s">
        <v>26</v>
      </c>
      <c r="B10" t="s">
        <v>293</v>
      </c>
    </row>
    <row r="11" spans="1:2">
      <c r="A11" t="s">
        <v>27</v>
      </c>
      <c r="B11" t="s">
        <v>293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R11"/>
  <sheetViews>
    <sheetView workbookViewId="0">
      <selection activeCell="I2" sqref="I2"/>
    </sheetView>
  </sheetViews>
  <sheetFormatPr defaultRowHeight="15"/>
  <sheetData>
    <row r="1" spans="1:18" s="1" customFormat="1" ht="15.75" thickBot="1">
      <c r="C1" s="1">
        <v>15</v>
      </c>
      <c r="D1" s="1">
        <v>14</v>
      </c>
      <c r="E1" s="1">
        <v>13</v>
      </c>
      <c r="F1" s="1">
        <v>12</v>
      </c>
      <c r="G1" s="1">
        <v>11</v>
      </c>
      <c r="H1" s="1">
        <v>10</v>
      </c>
      <c r="I1" s="1">
        <v>9</v>
      </c>
      <c r="J1" s="1">
        <v>8</v>
      </c>
      <c r="K1" s="1">
        <v>7</v>
      </c>
      <c r="L1" s="1">
        <v>6</v>
      </c>
      <c r="M1" s="1">
        <v>5</v>
      </c>
      <c r="N1" s="1">
        <v>4</v>
      </c>
      <c r="O1" s="1">
        <v>3</v>
      </c>
      <c r="P1" s="1">
        <v>2</v>
      </c>
      <c r="Q1" s="1">
        <v>1</v>
      </c>
      <c r="R1" s="1">
        <v>0</v>
      </c>
    </row>
    <row r="2" spans="1:18">
      <c r="A2" s="28" t="s">
        <v>24</v>
      </c>
      <c r="B2" s="32">
        <v>24</v>
      </c>
      <c r="C2" s="32">
        <f>$B2+C$1</f>
        <v>39</v>
      </c>
      <c r="D2" s="32">
        <f t="shared" ref="D2:R2" si="0">$B2+D$1</f>
        <v>38</v>
      </c>
      <c r="E2" s="32">
        <f t="shared" si="0"/>
        <v>37</v>
      </c>
      <c r="F2" s="32">
        <f t="shared" si="0"/>
        <v>36</v>
      </c>
      <c r="G2" s="32">
        <f t="shared" si="0"/>
        <v>35</v>
      </c>
      <c r="H2" s="1">
        <f t="shared" si="0"/>
        <v>34</v>
      </c>
      <c r="I2" s="1">
        <f t="shared" si="0"/>
        <v>33</v>
      </c>
      <c r="J2" s="1">
        <f t="shared" si="0"/>
        <v>32</v>
      </c>
      <c r="K2" s="1">
        <f t="shared" si="0"/>
        <v>31</v>
      </c>
      <c r="L2" s="1">
        <f t="shared" si="0"/>
        <v>30</v>
      </c>
      <c r="M2" s="1">
        <f t="shared" si="0"/>
        <v>29</v>
      </c>
      <c r="N2" s="1">
        <f t="shared" si="0"/>
        <v>28</v>
      </c>
      <c r="O2" s="1">
        <f t="shared" si="0"/>
        <v>27</v>
      </c>
      <c r="P2" s="1">
        <f t="shared" si="0"/>
        <v>26</v>
      </c>
      <c r="Q2" s="1">
        <f t="shared" si="0"/>
        <v>25</v>
      </c>
      <c r="R2" s="1">
        <f t="shared" si="0"/>
        <v>24</v>
      </c>
    </row>
    <row r="3" spans="1:18">
      <c r="A3" s="29" t="s">
        <v>119</v>
      </c>
      <c r="B3">
        <v>19</v>
      </c>
      <c r="C3" s="1">
        <f t="shared" ref="C3:R11" si="1">$B3+C$1</f>
        <v>34</v>
      </c>
      <c r="D3" s="1">
        <f t="shared" si="1"/>
        <v>33</v>
      </c>
      <c r="E3" s="1">
        <f t="shared" si="1"/>
        <v>32</v>
      </c>
      <c r="F3" s="1">
        <f t="shared" si="1"/>
        <v>31</v>
      </c>
      <c r="G3" s="1">
        <f t="shared" si="1"/>
        <v>30</v>
      </c>
      <c r="H3" s="1">
        <f t="shared" si="1"/>
        <v>29</v>
      </c>
      <c r="I3" s="1">
        <f t="shared" si="1"/>
        <v>28</v>
      </c>
      <c r="J3" s="1">
        <f t="shared" si="1"/>
        <v>27</v>
      </c>
      <c r="K3" s="1">
        <f t="shared" si="1"/>
        <v>26</v>
      </c>
      <c r="L3" s="1">
        <f t="shared" si="1"/>
        <v>25</v>
      </c>
      <c r="M3" s="1">
        <f t="shared" si="1"/>
        <v>24</v>
      </c>
      <c r="N3" s="1">
        <f t="shared" si="1"/>
        <v>23</v>
      </c>
      <c r="O3" s="1">
        <f t="shared" si="1"/>
        <v>22</v>
      </c>
      <c r="P3" s="1">
        <f t="shared" si="1"/>
        <v>21</v>
      </c>
      <c r="Q3" s="1">
        <f t="shared" si="1"/>
        <v>20</v>
      </c>
      <c r="R3" s="1">
        <f t="shared" si="1"/>
        <v>19</v>
      </c>
    </row>
    <row r="4" spans="1:18">
      <c r="A4" s="30" t="s">
        <v>111</v>
      </c>
      <c r="B4">
        <v>19</v>
      </c>
      <c r="C4" s="1">
        <f t="shared" si="1"/>
        <v>34</v>
      </c>
      <c r="D4" s="1">
        <f t="shared" si="1"/>
        <v>33</v>
      </c>
      <c r="E4" s="1">
        <f t="shared" si="1"/>
        <v>32</v>
      </c>
      <c r="F4" s="1">
        <f t="shared" si="1"/>
        <v>31</v>
      </c>
      <c r="G4" s="1">
        <f t="shared" si="1"/>
        <v>30</v>
      </c>
      <c r="H4" s="1">
        <f t="shared" si="1"/>
        <v>29</v>
      </c>
      <c r="I4" s="1">
        <f t="shared" si="1"/>
        <v>28</v>
      </c>
      <c r="J4" s="1">
        <f t="shared" si="1"/>
        <v>27</v>
      </c>
      <c r="K4" s="1">
        <f t="shared" si="1"/>
        <v>26</v>
      </c>
      <c r="L4" s="1">
        <f t="shared" si="1"/>
        <v>25</v>
      </c>
      <c r="M4" s="1">
        <f t="shared" si="1"/>
        <v>24</v>
      </c>
      <c r="N4" s="1">
        <f t="shared" si="1"/>
        <v>23</v>
      </c>
      <c r="O4" s="1">
        <f t="shared" si="1"/>
        <v>22</v>
      </c>
      <c r="P4" s="1">
        <f t="shared" si="1"/>
        <v>21</v>
      </c>
      <c r="Q4" s="1">
        <f t="shared" si="1"/>
        <v>20</v>
      </c>
      <c r="R4" s="1">
        <f t="shared" si="1"/>
        <v>19</v>
      </c>
    </row>
    <row r="5" spans="1:18">
      <c r="A5" s="29" t="s">
        <v>27</v>
      </c>
      <c r="B5">
        <v>18</v>
      </c>
      <c r="C5" s="1">
        <f t="shared" si="1"/>
        <v>33</v>
      </c>
      <c r="D5" s="1">
        <f t="shared" si="1"/>
        <v>32</v>
      </c>
      <c r="E5" s="1">
        <f t="shared" si="1"/>
        <v>31</v>
      </c>
      <c r="F5" s="1">
        <f t="shared" si="1"/>
        <v>30</v>
      </c>
      <c r="G5" s="1">
        <f t="shared" si="1"/>
        <v>29</v>
      </c>
      <c r="H5" s="1">
        <f t="shared" si="1"/>
        <v>28</v>
      </c>
      <c r="I5" s="1">
        <f t="shared" si="1"/>
        <v>27</v>
      </c>
      <c r="J5" s="1">
        <f t="shared" si="1"/>
        <v>26</v>
      </c>
      <c r="K5" s="1">
        <f t="shared" si="1"/>
        <v>25</v>
      </c>
      <c r="L5" s="1">
        <f t="shared" si="1"/>
        <v>24</v>
      </c>
      <c r="M5" s="1">
        <f t="shared" si="1"/>
        <v>23</v>
      </c>
      <c r="N5" s="1">
        <f t="shared" si="1"/>
        <v>22</v>
      </c>
      <c r="O5" s="1">
        <f t="shared" si="1"/>
        <v>21</v>
      </c>
      <c r="P5" s="1">
        <f t="shared" si="1"/>
        <v>20</v>
      </c>
      <c r="Q5" s="1">
        <f t="shared" si="1"/>
        <v>19</v>
      </c>
      <c r="R5" s="1">
        <f t="shared" si="1"/>
        <v>18</v>
      </c>
    </row>
    <row r="6" spans="1:18">
      <c r="A6" s="30" t="s">
        <v>28</v>
      </c>
      <c r="B6">
        <v>18</v>
      </c>
      <c r="C6" s="1">
        <f t="shared" si="1"/>
        <v>33</v>
      </c>
      <c r="D6" s="1">
        <f t="shared" si="1"/>
        <v>32</v>
      </c>
      <c r="E6" s="1">
        <f t="shared" si="1"/>
        <v>31</v>
      </c>
      <c r="F6" s="1">
        <f t="shared" si="1"/>
        <v>30</v>
      </c>
      <c r="G6" s="1">
        <f t="shared" si="1"/>
        <v>29</v>
      </c>
      <c r="H6" s="1">
        <f t="shared" si="1"/>
        <v>28</v>
      </c>
      <c r="I6" s="1">
        <f t="shared" si="1"/>
        <v>27</v>
      </c>
      <c r="J6" s="1">
        <f t="shared" si="1"/>
        <v>26</v>
      </c>
      <c r="K6" s="1">
        <f t="shared" si="1"/>
        <v>25</v>
      </c>
      <c r="L6" s="1">
        <f t="shared" si="1"/>
        <v>24</v>
      </c>
      <c r="M6" s="1">
        <f t="shared" si="1"/>
        <v>23</v>
      </c>
      <c r="N6" s="1">
        <f t="shared" si="1"/>
        <v>22</v>
      </c>
      <c r="O6" s="1">
        <f t="shared" si="1"/>
        <v>21</v>
      </c>
      <c r="P6" s="1">
        <f t="shared" si="1"/>
        <v>20</v>
      </c>
      <c r="Q6" s="1">
        <f t="shared" si="1"/>
        <v>19</v>
      </c>
      <c r="R6" s="1">
        <f t="shared" si="1"/>
        <v>18</v>
      </c>
    </row>
    <row r="7" spans="1:18">
      <c r="A7" s="29" t="s">
        <v>25</v>
      </c>
      <c r="B7">
        <v>16</v>
      </c>
      <c r="C7" s="1">
        <f t="shared" si="1"/>
        <v>31</v>
      </c>
      <c r="D7" s="1">
        <f t="shared" si="1"/>
        <v>30</v>
      </c>
      <c r="E7" s="1">
        <f t="shared" si="1"/>
        <v>29</v>
      </c>
      <c r="F7" s="1">
        <f t="shared" si="1"/>
        <v>28</v>
      </c>
      <c r="G7" s="1">
        <f t="shared" si="1"/>
        <v>27</v>
      </c>
      <c r="H7" s="1">
        <f t="shared" si="1"/>
        <v>26</v>
      </c>
      <c r="I7" s="1">
        <f t="shared" si="1"/>
        <v>25</v>
      </c>
      <c r="J7" s="1">
        <f t="shared" si="1"/>
        <v>24</v>
      </c>
      <c r="K7" s="1">
        <f t="shared" si="1"/>
        <v>23</v>
      </c>
      <c r="L7" s="1">
        <f t="shared" si="1"/>
        <v>22</v>
      </c>
      <c r="M7" s="1">
        <f t="shared" si="1"/>
        <v>21</v>
      </c>
      <c r="N7" s="1">
        <f t="shared" si="1"/>
        <v>20</v>
      </c>
      <c r="O7" s="1">
        <f t="shared" si="1"/>
        <v>19</v>
      </c>
      <c r="P7" s="1">
        <f t="shared" si="1"/>
        <v>18</v>
      </c>
      <c r="Q7" s="1">
        <f t="shared" si="1"/>
        <v>17</v>
      </c>
      <c r="R7" s="1">
        <f t="shared" si="1"/>
        <v>16</v>
      </c>
    </row>
    <row r="8" spans="1:18">
      <c r="A8" s="30" t="s">
        <v>26</v>
      </c>
      <c r="B8">
        <v>15</v>
      </c>
      <c r="C8" s="1">
        <f t="shared" si="1"/>
        <v>30</v>
      </c>
      <c r="D8" s="1">
        <f t="shared" si="1"/>
        <v>29</v>
      </c>
      <c r="E8" s="1">
        <f t="shared" si="1"/>
        <v>28</v>
      </c>
      <c r="F8" s="1">
        <f t="shared" si="1"/>
        <v>27</v>
      </c>
      <c r="G8" s="1">
        <f t="shared" si="1"/>
        <v>26</v>
      </c>
      <c r="H8" s="1">
        <f t="shared" si="1"/>
        <v>25</v>
      </c>
      <c r="I8" s="1">
        <f t="shared" si="1"/>
        <v>24</v>
      </c>
      <c r="J8" s="1">
        <f t="shared" si="1"/>
        <v>23</v>
      </c>
      <c r="K8" s="1">
        <f t="shared" si="1"/>
        <v>22</v>
      </c>
      <c r="L8" s="1">
        <f t="shared" si="1"/>
        <v>21</v>
      </c>
      <c r="M8" s="1">
        <f t="shared" si="1"/>
        <v>20</v>
      </c>
      <c r="N8" s="1">
        <f t="shared" si="1"/>
        <v>19</v>
      </c>
      <c r="O8" s="1">
        <f t="shared" si="1"/>
        <v>18</v>
      </c>
      <c r="P8" s="1">
        <f t="shared" si="1"/>
        <v>17</v>
      </c>
      <c r="Q8" s="1">
        <f t="shared" si="1"/>
        <v>16</v>
      </c>
      <c r="R8" s="1">
        <f t="shared" si="1"/>
        <v>15</v>
      </c>
    </row>
    <row r="9" spans="1:18">
      <c r="A9" s="29" t="s">
        <v>30</v>
      </c>
      <c r="B9">
        <v>14</v>
      </c>
      <c r="C9" s="1">
        <f t="shared" si="1"/>
        <v>29</v>
      </c>
      <c r="D9" s="1">
        <f t="shared" si="1"/>
        <v>28</v>
      </c>
      <c r="E9" s="1">
        <f t="shared" si="1"/>
        <v>27</v>
      </c>
      <c r="F9" s="1">
        <f t="shared" si="1"/>
        <v>26</v>
      </c>
      <c r="G9" s="1">
        <f t="shared" si="1"/>
        <v>25</v>
      </c>
      <c r="H9" s="1">
        <f t="shared" si="1"/>
        <v>24</v>
      </c>
      <c r="I9" s="1">
        <f t="shared" si="1"/>
        <v>23</v>
      </c>
      <c r="J9" s="1">
        <f t="shared" si="1"/>
        <v>22</v>
      </c>
      <c r="K9" s="1">
        <f t="shared" si="1"/>
        <v>21</v>
      </c>
      <c r="L9" s="1">
        <f t="shared" si="1"/>
        <v>20</v>
      </c>
      <c r="M9" s="1">
        <f t="shared" si="1"/>
        <v>19</v>
      </c>
      <c r="N9" s="1">
        <f t="shared" si="1"/>
        <v>18</v>
      </c>
      <c r="O9" s="1">
        <f t="shared" si="1"/>
        <v>17</v>
      </c>
      <c r="P9" s="1">
        <f t="shared" si="1"/>
        <v>16</v>
      </c>
      <c r="Q9" s="1">
        <f t="shared" si="1"/>
        <v>15</v>
      </c>
      <c r="R9" s="1">
        <f t="shared" si="1"/>
        <v>14</v>
      </c>
    </row>
    <row r="10" spans="1:18">
      <c r="A10" s="30" t="s">
        <v>29</v>
      </c>
      <c r="B10">
        <v>13</v>
      </c>
      <c r="C10" s="1">
        <f t="shared" si="1"/>
        <v>28</v>
      </c>
      <c r="D10" s="1">
        <f t="shared" si="1"/>
        <v>27</v>
      </c>
      <c r="E10" s="1">
        <f t="shared" si="1"/>
        <v>26</v>
      </c>
      <c r="F10" s="1">
        <f t="shared" si="1"/>
        <v>25</v>
      </c>
      <c r="G10" s="1">
        <f t="shared" si="1"/>
        <v>24</v>
      </c>
      <c r="H10" s="1">
        <f t="shared" si="1"/>
        <v>23</v>
      </c>
      <c r="I10" s="1">
        <f t="shared" si="1"/>
        <v>22</v>
      </c>
      <c r="J10" s="1">
        <f t="shared" si="1"/>
        <v>21</v>
      </c>
      <c r="K10" s="1">
        <f t="shared" si="1"/>
        <v>20</v>
      </c>
      <c r="L10" s="1">
        <f t="shared" si="1"/>
        <v>19</v>
      </c>
      <c r="M10" s="1">
        <f t="shared" si="1"/>
        <v>18</v>
      </c>
      <c r="N10" s="1">
        <f t="shared" si="1"/>
        <v>17</v>
      </c>
      <c r="O10" s="1">
        <f t="shared" si="1"/>
        <v>16</v>
      </c>
      <c r="P10" s="1">
        <f t="shared" si="1"/>
        <v>15</v>
      </c>
      <c r="Q10" s="1">
        <f t="shared" si="1"/>
        <v>14</v>
      </c>
      <c r="R10" s="1">
        <f t="shared" si="1"/>
        <v>13</v>
      </c>
    </row>
    <row r="11" spans="1:18" ht="15.75" thickBot="1">
      <c r="A11" s="31" t="s">
        <v>31</v>
      </c>
      <c r="B11">
        <v>9</v>
      </c>
      <c r="C11" s="1">
        <f t="shared" si="1"/>
        <v>24</v>
      </c>
      <c r="D11" s="1">
        <f t="shared" si="1"/>
        <v>23</v>
      </c>
      <c r="E11" s="1">
        <f t="shared" si="1"/>
        <v>22</v>
      </c>
      <c r="F11" s="1">
        <f t="shared" si="1"/>
        <v>21</v>
      </c>
      <c r="G11" s="1">
        <f t="shared" si="1"/>
        <v>20</v>
      </c>
      <c r="H11" s="1">
        <f t="shared" si="1"/>
        <v>19</v>
      </c>
      <c r="I11" s="1">
        <f t="shared" si="1"/>
        <v>18</v>
      </c>
      <c r="J11" s="1">
        <f t="shared" si="1"/>
        <v>17</v>
      </c>
      <c r="K11" s="1">
        <f t="shared" si="1"/>
        <v>16</v>
      </c>
      <c r="L11" s="1">
        <f t="shared" si="1"/>
        <v>15</v>
      </c>
      <c r="M11" s="1">
        <f t="shared" si="1"/>
        <v>14</v>
      </c>
      <c r="N11" s="1">
        <f t="shared" si="1"/>
        <v>13</v>
      </c>
      <c r="O11" s="1">
        <f t="shared" si="1"/>
        <v>12</v>
      </c>
      <c r="P11" s="1">
        <f t="shared" si="1"/>
        <v>11</v>
      </c>
      <c r="Q11" s="1">
        <f t="shared" si="1"/>
        <v>10</v>
      </c>
      <c r="R11" s="1">
        <f t="shared" si="1"/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I519"/>
  <sheetViews>
    <sheetView topLeftCell="A227" workbookViewId="0">
      <selection activeCell="A280" sqref="A280"/>
    </sheetView>
  </sheetViews>
  <sheetFormatPr defaultRowHeight="15"/>
  <cols>
    <col min="1" max="1" width="26.140625" bestFit="1" customWidth="1"/>
    <col min="2" max="3" width="3" bestFit="1" customWidth="1"/>
    <col min="4" max="4" width="2" style="2" bestFit="1" customWidth="1"/>
    <col min="5" max="5" width="6" style="2" bestFit="1" customWidth="1"/>
    <col min="6" max="7" width="4" style="2" bestFit="1" customWidth="1"/>
    <col min="8" max="8" width="4.7109375" style="2" bestFit="1" customWidth="1"/>
    <col min="9" max="9" width="5.140625" style="2" bestFit="1" customWidth="1"/>
    <col min="10" max="11" width="4.140625" style="2" bestFit="1" customWidth="1"/>
    <col min="12" max="12" width="5.5703125" style="2" bestFit="1" customWidth="1"/>
    <col min="13" max="14" width="5.42578125" style="2" customWidth="1"/>
    <col min="15" max="15" width="4.85546875" style="2" bestFit="1" customWidth="1"/>
    <col min="16" max="103" width="4.85546875" style="2" customWidth="1"/>
    <col min="104" max="104" width="7.42578125" style="2" customWidth="1"/>
    <col min="105" max="105" width="8.85546875" style="2" customWidth="1"/>
    <col min="106" max="107" width="6" style="2" customWidth="1"/>
    <col min="108" max="108" width="19.85546875" style="2" customWidth="1"/>
    <col min="109" max="109" width="5.28515625" style="2" customWidth="1"/>
    <col min="110" max="110" width="3.85546875" style="2" customWidth="1"/>
    <col min="111" max="111" width="9.5703125" style="1" customWidth="1"/>
    <col min="112" max="112" width="6.5703125" style="1" customWidth="1"/>
    <col min="113" max="113" width="5.85546875" style="1" customWidth="1"/>
  </cols>
  <sheetData>
    <row r="1" spans="1:113">
      <c r="A1" t="s">
        <v>134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</row>
    <row r="2" spans="1:113">
      <c r="A2" s="1" t="s">
        <v>135</v>
      </c>
      <c r="B2" s="1"/>
      <c r="C2" s="1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>
      <c r="A3" s="1" t="s">
        <v>136</v>
      </c>
      <c r="B3" s="1"/>
      <c r="C3" s="1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>
      <c r="A4" s="1" t="s">
        <v>137</v>
      </c>
      <c r="B4" s="1"/>
      <c r="C4" s="1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" t="s">
        <v>138</v>
      </c>
      <c r="B5" s="1"/>
      <c r="C5" s="1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" t="s">
        <v>472</v>
      </c>
      <c r="B6" s="1"/>
      <c r="C6" s="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" t="s">
        <v>139</v>
      </c>
      <c r="B7" s="1"/>
      <c r="C7" s="1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" t="s">
        <v>140</v>
      </c>
      <c r="B8" s="1"/>
      <c r="C8" s="1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" t="s">
        <v>133</v>
      </c>
      <c r="B9" s="1"/>
      <c r="C9" s="1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" t="s">
        <v>141</v>
      </c>
      <c r="B10" s="1"/>
      <c r="C10" s="1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" t="s">
        <v>142</v>
      </c>
      <c r="B11" s="1"/>
      <c r="C11" s="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" t="s">
        <v>143</v>
      </c>
      <c r="B12" s="1"/>
      <c r="C12" s="1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" t="s">
        <v>132</v>
      </c>
      <c r="B13" s="1"/>
      <c r="C13" s="1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" t="s">
        <v>144</v>
      </c>
      <c r="B14" s="1"/>
      <c r="C14" s="1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" t="s">
        <v>145</v>
      </c>
      <c r="B15" s="1"/>
      <c r="C15" s="1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" t="s">
        <v>146</v>
      </c>
      <c r="B16" s="1"/>
      <c r="C16" s="1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>
      <c r="A17" s="1" t="s">
        <v>147</v>
      </c>
      <c r="B17" s="1"/>
      <c r="C17" s="1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>
      <c r="A18" s="1" t="s">
        <v>131</v>
      </c>
      <c r="B18" s="1"/>
      <c r="C18" s="1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>
      <c r="A19" s="1" t="s">
        <v>148</v>
      </c>
      <c r="B19" s="1"/>
      <c r="C19" s="1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" t="s">
        <v>149</v>
      </c>
      <c r="B20" s="1"/>
      <c r="C20" s="36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>
      <c r="A21" s="1" t="s">
        <v>150</v>
      </c>
      <c r="B21" s="1"/>
      <c r="C21" s="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" t="s">
        <v>121</v>
      </c>
      <c r="B22" s="1"/>
      <c r="C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>
      <c r="A23" s="1" t="s">
        <v>140</v>
      </c>
      <c r="B23" s="1"/>
      <c r="C23" s="1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>
      <c r="A24" s="1" t="s">
        <v>151</v>
      </c>
      <c r="B24" s="1"/>
      <c r="C24" s="1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</row>
    <row r="25" spans="1:113">
      <c r="A25" s="1" t="s">
        <v>152</v>
      </c>
      <c r="B25" s="1"/>
      <c r="C25" s="1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</row>
    <row r="26" spans="1:113">
      <c r="A26" s="1" t="s">
        <v>153</v>
      </c>
      <c r="B26" s="1"/>
      <c r="C26" s="1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>
      <c r="A27" s="1" t="s">
        <v>428</v>
      </c>
      <c r="B27" s="1"/>
      <c r="C27" s="1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>
      <c r="A28" s="1" t="s">
        <v>142</v>
      </c>
      <c r="B28" s="1"/>
      <c r="C28" s="1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>
      <c r="A29" s="1" t="s">
        <v>143</v>
      </c>
      <c r="B29" s="1"/>
      <c r="C29" s="1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>
      <c r="A30" s="1" t="s">
        <v>132</v>
      </c>
      <c r="B30" s="1"/>
      <c r="C30" s="1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>
      <c r="A31" s="1" t="s">
        <v>144</v>
      </c>
      <c r="B31" s="1"/>
      <c r="C31" s="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>
      <c r="A32" s="1" t="s">
        <v>154</v>
      </c>
      <c r="B32" s="1"/>
      <c r="C32" s="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113">
      <c r="A33" s="1" t="s">
        <v>155</v>
      </c>
      <c r="B33" s="1"/>
      <c r="C33" s="1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>
      <c r="A34" s="1" t="s">
        <v>156</v>
      </c>
      <c r="B34" s="1"/>
      <c r="C34" s="1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>
      <c r="A35" s="1" t="s">
        <v>429</v>
      </c>
      <c r="B35" s="1"/>
      <c r="C35" s="1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1:113">
      <c r="A36" s="1" t="s">
        <v>157</v>
      </c>
      <c r="B36" s="1"/>
      <c r="C36" s="1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1:113">
      <c r="A37" s="1" t="s">
        <v>473</v>
      </c>
      <c r="B37" s="1"/>
      <c r="C37" s="1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</row>
    <row r="38" spans="1:113">
      <c r="A38" s="1" t="s">
        <v>469</v>
      </c>
      <c r="B38" s="1"/>
      <c r="C38" s="1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</row>
    <row r="39" spans="1:113">
      <c r="A39" s="1" t="s">
        <v>474</v>
      </c>
      <c r="B39" s="1"/>
      <c r="C39" s="1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</row>
    <row r="40" spans="1:113">
      <c r="A40" s="1" t="s">
        <v>158</v>
      </c>
      <c r="B40" s="1"/>
      <c r="C40" s="1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</row>
    <row r="41" spans="1:113">
      <c r="A41" s="1" t="s">
        <v>430</v>
      </c>
      <c r="B41" s="1"/>
      <c r="C41" s="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DB41"/>
      <c r="DC41"/>
      <c r="DD41"/>
      <c r="DE41"/>
      <c r="DF41"/>
      <c r="DG41"/>
      <c r="DH41"/>
      <c r="DI41"/>
    </row>
    <row r="42" spans="1:113">
      <c r="A42" s="1" t="s">
        <v>130</v>
      </c>
      <c r="B42" s="1"/>
      <c r="C42" s="1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DB42"/>
      <c r="DC42"/>
      <c r="DD42"/>
      <c r="DE42"/>
      <c r="DF42"/>
      <c r="DG42"/>
      <c r="DH42"/>
      <c r="DI42"/>
    </row>
    <row r="43" spans="1:113">
      <c r="A43" s="1"/>
      <c r="B43" s="1"/>
      <c r="C43" s="1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DB43"/>
      <c r="DC43"/>
      <c r="DD43"/>
      <c r="DE43"/>
      <c r="DF43"/>
      <c r="DG43"/>
      <c r="DH43"/>
      <c r="DI43"/>
    </row>
    <row r="44" spans="1:113">
      <c r="A44" s="1" t="s">
        <v>159</v>
      </c>
      <c r="B44" s="1"/>
      <c r="C44" s="1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DB44"/>
      <c r="DC44"/>
      <c r="DD44"/>
      <c r="DE44"/>
      <c r="DF44"/>
      <c r="DG44"/>
      <c r="DH44"/>
      <c r="DI44"/>
    </row>
    <row r="45" spans="1:113">
      <c r="A45" s="1"/>
      <c r="B45" s="1"/>
      <c r="C45" s="1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DB45"/>
      <c r="DC45"/>
      <c r="DD45"/>
      <c r="DE45"/>
      <c r="DF45"/>
      <c r="DG45"/>
      <c r="DH45"/>
      <c r="DI45"/>
    </row>
    <row r="46" spans="1:113">
      <c r="A46" s="1"/>
      <c r="B46" s="1"/>
      <c r="C46" s="1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DB46"/>
      <c r="DC46"/>
      <c r="DD46"/>
      <c r="DE46"/>
      <c r="DF46"/>
      <c r="DG46"/>
      <c r="DH46"/>
      <c r="DI46"/>
    </row>
    <row r="47" spans="1:113">
      <c r="A47" s="1" t="s">
        <v>160</v>
      </c>
      <c r="B47" s="1"/>
      <c r="C47" s="1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DB47"/>
      <c r="DC47"/>
      <c r="DD47"/>
      <c r="DE47"/>
      <c r="DF47"/>
      <c r="DG47"/>
      <c r="DH47"/>
      <c r="DI47"/>
    </row>
    <row r="48" spans="1:113">
      <c r="A48" s="1" t="s">
        <v>161</v>
      </c>
      <c r="B48" s="1"/>
      <c r="C48" s="1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DB48"/>
      <c r="DC48"/>
      <c r="DD48"/>
      <c r="DE48"/>
      <c r="DF48"/>
      <c r="DG48"/>
      <c r="DH48"/>
      <c r="DI48"/>
    </row>
    <row r="49" spans="1:113">
      <c r="A49" s="1" t="s">
        <v>162</v>
      </c>
      <c r="B49" s="1"/>
      <c r="C49" s="1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DB49"/>
      <c r="DC49"/>
      <c r="DD49"/>
      <c r="DE49"/>
      <c r="DF49"/>
      <c r="DG49"/>
      <c r="DH49"/>
      <c r="DI49"/>
    </row>
    <row r="50" spans="1:113">
      <c r="A50" s="1" t="s">
        <v>163</v>
      </c>
      <c r="B50" s="1"/>
      <c r="C50" s="1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DB50"/>
      <c r="DC50"/>
      <c r="DD50"/>
      <c r="DE50"/>
      <c r="DF50"/>
      <c r="DG50"/>
      <c r="DH50"/>
      <c r="DI50"/>
    </row>
    <row r="51" spans="1:113">
      <c r="A51" s="1" t="s">
        <v>164</v>
      </c>
      <c r="B51" s="1"/>
      <c r="C51" s="1"/>
      <c r="N51"/>
      <c r="CY51"/>
      <c r="DB51"/>
      <c r="DC51"/>
      <c r="DD51"/>
      <c r="DE51"/>
      <c r="DF51"/>
      <c r="DG51"/>
      <c r="DH51"/>
      <c r="DI51"/>
    </row>
    <row r="52" spans="1:113">
      <c r="A52" s="1" t="s">
        <v>165</v>
      </c>
      <c r="B52" s="1"/>
      <c r="C52" s="1"/>
      <c r="N52"/>
      <c r="CY52"/>
      <c r="DB52"/>
      <c r="DC52"/>
      <c r="DD52"/>
      <c r="DE52"/>
      <c r="DF52"/>
      <c r="DG52"/>
      <c r="DH52"/>
      <c r="DI52"/>
    </row>
    <row r="53" spans="1:113">
      <c r="A53" s="1" t="s">
        <v>166</v>
      </c>
      <c r="B53" s="1"/>
      <c r="C53" s="1"/>
      <c r="N53"/>
      <c r="DB53"/>
      <c r="DC53"/>
      <c r="DD53"/>
      <c r="DE53"/>
      <c r="DF53"/>
      <c r="DG53"/>
      <c r="DH53"/>
      <c r="DI53"/>
    </row>
    <row r="54" spans="1:113">
      <c r="A54" s="1" t="s">
        <v>167</v>
      </c>
      <c r="B54" s="1"/>
      <c r="C54" s="1"/>
      <c r="N54"/>
      <c r="DB54"/>
      <c r="DC54"/>
      <c r="DD54"/>
      <c r="DE54"/>
      <c r="DF54"/>
      <c r="DG54"/>
      <c r="DH54"/>
      <c r="DI54"/>
    </row>
    <row r="55" spans="1:113">
      <c r="A55" s="1"/>
      <c r="B55" s="1"/>
      <c r="C55" s="1"/>
      <c r="N55"/>
      <c r="DB55"/>
      <c r="DC55"/>
      <c r="DD55"/>
      <c r="DE55"/>
      <c r="DF55"/>
      <c r="DG55"/>
      <c r="DH55"/>
      <c r="DI55"/>
    </row>
    <row r="56" spans="1:113">
      <c r="A56" s="1" t="s">
        <v>168</v>
      </c>
      <c r="B56" s="1"/>
      <c r="C56" s="1"/>
      <c r="N56"/>
      <c r="DB56"/>
      <c r="DC56"/>
      <c r="DD56"/>
      <c r="DE56"/>
      <c r="DF56"/>
      <c r="DG56"/>
      <c r="DH56"/>
      <c r="DI56"/>
    </row>
    <row r="57" spans="1:113">
      <c r="A57" s="1"/>
      <c r="B57" s="1"/>
      <c r="C57" s="1"/>
      <c r="N57"/>
      <c r="DB57"/>
      <c r="DC57"/>
      <c r="DD57"/>
      <c r="DE57"/>
      <c r="DF57"/>
      <c r="DG57"/>
      <c r="DH57"/>
      <c r="DI57"/>
    </row>
    <row r="58" spans="1:113">
      <c r="A58" s="1"/>
      <c r="B58" s="1"/>
      <c r="C58" s="1"/>
      <c r="N58"/>
      <c r="DB58"/>
      <c r="DC58"/>
      <c r="DD58"/>
      <c r="DE58"/>
      <c r="DF58"/>
      <c r="DG58"/>
      <c r="DH58"/>
      <c r="DI58"/>
    </row>
    <row r="59" spans="1:113">
      <c r="A59" s="1" t="s">
        <v>160</v>
      </c>
      <c r="B59" s="1"/>
      <c r="C59" s="1"/>
      <c r="N59"/>
      <c r="DB59"/>
      <c r="DC59"/>
      <c r="DD59"/>
      <c r="DE59"/>
      <c r="DF59"/>
      <c r="DG59"/>
      <c r="DH59"/>
      <c r="DI59"/>
    </row>
    <row r="60" spans="1:113">
      <c r="A60" s="1" t="s">
        <v>161</v>
      </c>
      <c r="B60" s="1"/>
      <c r="C60" s="1"/>
      <c r="N60"/>
      <c r="DB60"/>
      <c r="DC60"/>
      <c r="DD60"/>
      <c r="DE60"/>
      <c r="DF60"/>
      <c r="DG60"/>
      <c r="DH60"/>
      <c r="DI60"/>
    </row>
    <row r="61" spans="1:113">
      <c r="A61" s="1" t="s">
        <v>162</v>
      </c>
      <c r="B61" s="1"/>
      <c r="C61" s="1"/>
      <c r="N61"/>
      <c r="DB61"/>
      <c r="DC61"/>
      <c r="DD61"/>
      <c r="DE61"/>
      <c r="DF61"/>
      <c r="DG61"/>
      <c r="DH61"/>
      <c r="DI61"/>
    </row>
    <row r="62" spans="1:113">
      <c r="A62" s="1" t="s">
        <v>164</v>
      </c>
      <c r="B62" s="1"/>
      <c r="C62" s="1"/>
      <c r="N62"/>
      <c r="DB62"/>
      <c r="DC62"/>
      <c r="DD62"/>
      <c r="DE62"/>
      <c r="DF62"/>
      <c r="DG62"/>
      <c r="DH62"/>
      <c r="DI62"/>
    </row>
    <row r="63" spans="1:113">
      <c r="A63" s="1" t="s">
        <v>169</v>
      </c>
      <c r="B63" s="1"/>
      <c r="C63" s="1"/>
      <c r="N63"/>
      <c r="DB63"/>
      <c r="DC63"/>
      <c r="DD63"/>
      <c r="DE63"/>
      <c r="DF63"/>
      <c r="DG63"/>
      <c r="DH63"/>
      <c r="DI63"/>
    </row>
    <row r="64" spans="1:113">
      <c r="A64" s="1"/>
      <c r="B64" s="1"/>
      <c r="C64" s="1"/>
      <c r="N64"/>
      <c r="DB64"/>
      <c r="DC64"/>
      <c r="DD64"/>
      <c r="DE64"/>
      <c r="DF64"/>
      <c r="DG64"/>
      <c r="DH64"/>
      <c r="DI64"/>
    </row>
    <row r="65" spans="1:113">
      <c r="A65" s="1" t="s">
        <v>170</v>
      </c>
      <c r="B65" s="1"/>
      <c r="C65" s="1"/>
      <c r="N65"/>
      <c r="DB65"/>
      <c r="DC65"/>
      <c r="DD65"/>
      <c r="DE65"/>
      <c r="DF65"/>
      <c r="DG65"/>
      <c r="DH65"/>
      <c r="DI65"/>
    </row>
    <row r="66" spans="1:113">
      <c r="A66" s="1"/>
      <c r="B66" s="1"/>
      <c r="C66" s="1"/>
      <c r="N66"/>
      <c r="DB66"/>
      <c r="DC66"/>
      <c r="DD66"/>
      <c r="DE66"/>
      <c r="DF66"/>
      <c r="DG66"/>
      <c r="DH66"/>
      <c r="DI66"/>
    </row>
    <row r="67" spans="1:113">
      <c r="A67" s="1"/>
      <c r="B67" s="1"/>
      <c r="C67" s="1"/>
      <c r="N67"/>
      <c r="DB67"/>
      <c r="DC67"/>
      <c r="DD67"/>
      <c r="DE67"/>
      <c r="DF67"/>
      <c r="DG67"/>
      <c r="DH67"/>
      <c r="DI67"/>
    </row>
    <row r="68" spans="1:113">
      <c r="A68" s="1" t="s">
        <v>171</v>
      </c>
      <c r="B68" s="1"/>
      <c r="C68" s="1"/>
      <c r="N68"/>
      <c r="DG68"/>
      <c r="DH68"/>
      <c r="DI68"/>
    </row>
    <row r="69" spans="1:113">
      <c r="A69" s="1" t="s">
        <v>172</v>
      </c>
      <c r="B69" s="1"/>
      <c r="C69" s="1"/>
      <c r="N69"/>
      <c r="DG69"/>
      <c r="DH69"/>
      <c r="DI69"/>
    </row>
    <row r="70" spans="1:113">
      <c r="A70" s="1" t="s">
        <v>173</v>
      </c>
      <c r="B70" s="1"/>
      <c r="C70" s="1"/>
      <c r="N70"/>
      <c r="DG70"/>
      <c r="DH70"/>
      <c r="DI70"/>
    </row>
    <row r="71" spans="1:113">
      <c r="A71" s="1" t="s">
        <v>174</v>
      </c>
      <c r="B71" s="1"/>
      <c r="C71" s="1"/>
      <c r="N71"/>
      <c r="DG71"/>
      <c r="DH71"/>
      <c r="DI71"/>
    </row>
    <row r="72" spans="1:113">
      <c r="A72" s="1" t="s">
        <v>175</v>
      </c>
      <c r="B72" s="1"/>
      <c r="C72" s="1"/>
      <c r="N72"/>
      <c r="DG72"/>
      <c r="DH72"/>
      <c r="DI72"/>
    </row>
    <row r="73" spans="1:113">
      <c r="A73" s="1"/>
      <c r="B73" s="1"/>
      <c r="C73" s="1"/>
      <c r="N73"/>
      <c r="DG73"/>
      <c r="DH73"/>
      <c r="DI73"/>
    </row>
    <row r="74" spans="1:113">
      <c r="A74" s="1" t="s">
        <v>176</v>
      </c>
      <c r="B74" s="1"/>
      <c r="C74" s="1"/>
      <c r="N74"/>
      <c r="DG74"/>
      <c r="DH74"/>
      <c r="DI74"/>
    </row>
    <row r="75" spans="1:113">
      <c r="A75" s="1"/>
      <c r="B75" s="1"/>
      <c r="C75" s="1"/>
      <c r="N75"/>
      <c r="DG75"/>
      <c r="DH75"/>
      <c r="DI75"/>
    </row>
    <row r="76" spans="1:113">
      <c r="A76" s="1" t="s">
        <v>177</v>
      </c>
      <c r="B76" s="1"/>
      <c r="C76" s="1"/>
      <c r="N76"/>
      <c r="DG76"/>
      <c r="DH76"/>
      <c r="DI76"/>
    </row>
    <row r="77" spans="1:113">
      <c r="A77" s="1"/>
      <c r="B77" s="1"/>
      <c r="C77" s="1"/>
      <c r="N77"/>
      <c r="DG77"/>
      <c r="DH77"/>
      <c r="DI77"/>
    </row>
    <row r="78" spans="1:113">
      <c r="A78" s="1"/>
      <c r="B78" s="1"/>
      <c r="C78" s="1"/>
      <c r="N78"/>
      <c r="DG78"/>
      <c r="DH78"/>
      <c r="DI78"/>
    </row>
    <row r="79" spans="1:113">
      <c r="A79" s="1" t="s">
        <v>178</v>
      </c>
      <c r="B79" s="1"/>
      <c r="C79" s="1"/>
      <c r="N79"/>
      <c r="DG79"/>
      <c r="DH79"/>
      <c r="DI79"/>
    </row>
    <row r="80" spans="1:113">
      <c r="A80" s="1" t="s">
        <v>179</v>
      </c>
      <c r="B80" s="1"/>
      <c r="C80" s="1"/>
      <c r="N80"/>
      <c r="DG80"/>
      <c r="DH80"/>
      <c r="DI80"/>
    </row>
    <row r="81" spans="1:113">
      <c r="A81" s="1" t="s">
        <v>180</v>
      </c>
      <c r="B81" s="1"/>
      <c r="C81" s="1"/>
      <c r="N81"/>
      <c r="DG81"/>
      <c r="DH81"/>
      <c r="DI81"/>
    </row>
    <row r="82" spans="1:113">
      <c r="A82" s="1" t="s">
        <v>181</v>
      </c>
      <c r="B82" s="1"/>
      <c r="C82" s="1"/>
      <c r="N82"/>
      <c r="DG82"/>
      <c r="DH82"/>
      <c r="DI82"/>
    </row>
    <row r="83" spans="1:113">
      <c r="A83" s="1" t="s">
        <v>182</v>
      </c>
      <c r="B83" s="1"/>
      <c r="C83" s="1"/>
      <c r="N83"/>
      <c r="DG83"/>
      <c r="DH83"/>
      <c r="DI83"/>
    </row>
    <row r="84" spans="1:113">
      <c r="A84" s="1"/>
      <c r="B84" s="1"/>
      <c r="C84" s="1"/>
      <c r="N84"/>
      <c r="DG84"/>
      <c r="DH84"/>
      <c r="DI84"/>
    </row>
    <row r="85" spans="1:113">
      <c r="A85" s="1" t="s">
        <v>183</v>
      </c>
      <c r="B85" s="1"/>
      <c r="C85" s="1"/>
      <c r="N85"/>
      <c r="DG85"/>
      <c r="DH85"/>
      <c r="DI85"/>
    </row>
    <row r="86" spans="1:113">
      <c r="A86" s="1" t="s">
        <v>184</v>
      </c>
      <c r="B86" s="1"/>
      <c r="C86" s="1"/>
      <c r="N86"/>
      <c r="DG86"/>
      <c r="DH86"/>
      <c r="DI86"/>
    </row>
    <row r="87" spans="1:113">
      <c r="A87" s="1" t="s">
        <v>185</v>
      </c>
      <c r="B87" s="1"/>
      <c r="C87" s="1"/>
      <c r="N87"/>
      <c r="DG87"/>
      <c r="DH87"/>
      <c r="DI87"/>
    </row>
    <row r="88" spans="1:113">
      <c r="A88" s="1" t="s">
        <v>186</v>
      </c>
      <c r="B88" s="1"/>
      <c r="C88" s="1"/>
      <c r="N88"/>
      <c r="DG88"/>
      <c r="DH88"/>
      <c r="DI88"/>
    </row>
    <row r="89" spans="1:113">
      <c r="A89" s="1" t="s">
        <v>187</v>
      </c>
      <c r="B89" s="1"/>
      <c r="C89" s="1"/>
      <c r="N89"/>
      <c r="DG89"/>
      <c r="DH89"/>
      <c r="DI89"/>
    </row>
    <row r="90" spans="1:113">
      <c r="A90" s="1" t="s">
        <v>279</v>
      </c>
      <c r="B90" s="1"/>
      <c r="C90" s="1"/>
      <c r="N90"/>
      <c r="DG90"/>
      <c r="DH90"/>
      <c r="DI90"/>
    </row>
    <row r="91" spans="1:113">
      <c r="A91" s="1" t="s">
        <v>280</v>
      </c>
      <c r="B91" s="1"/>
      <c r="C91" s="1"/>
      <c r="N91"/>
      <c r="DG91"/>
      <c r="DH91"/>
      <c r="DI91"/>
    </row>
    <row r="92" spans="1:113">
      <c r="A92" s="1" t="s">
        <v>281</v>
      </c>
      <c r="B92" s="1"/>
      <c r="C92" s="1"/>
      <c r="N92"/>
      <c r="DG92"/>
      <c r="DH92"/>
      <c r="DI92"/>
    </row>
    <row r="93" spans="1:113">
      <c r="A93" s="1" t="s">
        <v>282</v>
      </c>
      <c r="B93" s="1"/>
      <c r="C93" s="1"/>
      <c r="N93"/>
      <c r="DG93"/>
      <c r="DH93"/>
      <c r="DI93"/>
    </row>
    <row r="94" spans="1:113">
      <c r="A94" s="1" t="s">
        <v>283</v>
      </c>
      <c r="B94" s="1"/>
      <c r="C94" s="1"/>
      <c r="N94"/>
      <c r="DG94"/>
      <c r="DH94"/>
      <c r="DI94"/>
    </row>
    <row r="95" spans="1:113">
      <c r="A95" s="1" t="s">
        <v>284</v>
      </c>
      <c r="B95" s="1"/>
      <c r="C95" s="1"/>
      <c r="N95"/>
      <c r="DG95"/>
      <c r="DH95"/>
      <c r="DI95"/>
    </row>
    <row r="96" spans="1:113">
      <c r="A96" s="1" t="s">
        <v>285</v>
      </c>
      <c r="B96" s="1"/>
      <c r="C96" s="1"/>
      <c r="N96"/>
      <c r="DG96"/>
      <c r="DH96"/>
      <c r="DI96"/>
    </row>
    <row r="97" spans="1:113">
      <c r="A97" s="1" t="s">
        <v>286</v>
      </c>
      <c r="B97" s="1"/>
      <c r="C97" s="1"/>
      <c r="N97"/>
      <c r="DG97"/>
      <c r="DH97"/>
      <c r="DI97"/>
    </row>
    <row r="98" spans="1:113">
      <c r="A98" s="1" t="s">
        <v>287</v>
      </c>
      <c r="B98" s="1"/>
      <c r="C98" s="1"/>
      <c r="N98"/>
      <c r="DG98"/>
      <c r="DH98"/>
      <c r="DI98"/>
    </row>
    <row r="99" spans="1:113">
      <c r="A99" s="1" t="s">
        <v>288</v>
      </c>
      <c r="B99" s="1"/>
      <c r="C99" s="1"/>
      <c r="N99"/>
      <c r="DG99"/>
      <c r="DH99"/>
      <c r="DI99"/>
    </row>
    <row r="100" spans="1:113">
      <c r="A100" s="1" t="s">
        <v>289</v>
      </c>
      <c r="B100" s="1"/>
      <c r="C100" s="1"/>
      <c r="N100"/>
      <c r="DG100"/>
      <c r="DH100"/>
      <c r="DI100"/>
    </row>
    <row r="101" spans="1:113">
      <c r="A101" s="1" t="s">
        <v>421</v>
      </c>
      <c r="B101" s="1"/>
      <c r="C101" s="1"/>
      <c r="N101"/>
      <c r="DG101"/>
      <c r="DH101"/>
      <c r="DI101"/>
    </row>
    <row r="102" spans="1:113">
      <c r="A102" s="1" t="s">
        <v>431</v>
      </c>
      <c r="B102" s="1"/>
      <c r="C102" s="1"/>
      <c r="N102"/>
      <c r="DG102"/>
      <c r="DH102"/>
      <c r="DI102"/>
    </row>
    <row r="103" spans="1:113">
      <c r="A103" s="1" t="s">
        <v>149</v>
      </c>
      <c r="B103" s="1"/>
      <c r="C103" s="1"/>
      <c r="N103"/>
      <c r="DG103"/>
      <c r="DH103"/>
      <c r="DI103"/>
    </row>
    <row r="104" spans="1:113">
      <c r="A104" s="1" t="s">
        <v>118</v>
      </c>
      <c r="B104" s="1"/>
      <c r="C104" s="1"/>
      <c r="N104"/>
      <c r="DG104"/>
      <c r="DH104"/>
      <c r="DI104"/>
    </row>
    <row r="105" spans="1:113">
      <c r="A105" s="1" t="s">
        <v>188</v>
      </c>
      <c r="B105" s="1"/>
      <c r="C105" s="1"/>
      <c r="N105"/>
      <c r="DG105"/>
      <c r="DH105"/>
      <c r="DI105"/>
    </row>
    <row r="106" spans="1:113">
      <c r="A106" s="1" t="s">
        <v>189</v>
      </c>
      <c r="B106" s="1"/>
      <c r="C106" s="1"/>
      <c r="N106"/>
      <c r="DG106"/>
      <c r="DH106"/>
      <c r="DI106"/>
    </row>
    <row r="107" spans="1:113">
      <c r="A107" s="1"/>
      <c r="B107" s="1"/>
      <c r="C107" s="1"/>
      <c r="N107"/>
      <c r="DG107"/>
      <c r="DH107"/>
      <c r="DI107"/>
    </row>
    <row r="108" spans="1:113">
      <c r="A108" s="1" t="s">
        <v>190</v>
      </c>
      <c r="B108" s="1"/>
      <c r="C108" s="1"/>
      <c r="N108"/>
      <c r="DG108"/>
      <c r="DH108"/>
      <c r="DI108"/>
    </row>
    <row r="109" spans="1:113">
      <c r="A109" s="1" t="s">
        <v>127</v>
      </c>
      <c r="B109" s="1"/>
      <c r="C109" s="1"/>
      <c r="N109"/>
      <c r="DG109"/>
      <c r="DH109"/>
      <c r="DI109"/>
    </row>
    <row r="110" spans="1:113">
      <c r="A110" s="1" t="s">
        <v>435</v>
      </c>
      <c r="B110" s="1"/>
      <c r="C110" s="1"/>
      <c r="N110"/>
      <c r="DG110"/>
      <c r="DH110"/>
      <c r="DI110"/>
    </row>
    <row r="111" spans="1:113">
      <c r="A111" s="1" t="s">
        <v>121</v>
      </c>
      <c r="B111" s="1"/>
      <c r="C111" s="1"/>
      <c r="N111"/>
      <c r="DG111"/>
      <c r="DH111"/>
      <c r="DI111"/>
    </row>
    <row r="112" spans="1:113">
      <c r="A112" s="1" t="s">
        <v>191</v>
      </c>
      <c r="B112" s="1"/>
      <c r="C112" s="1"/>
      <c r="N112"/>
      <c r="DG112"/>
      <c r="DH112"/>
      <c r="DI112"/>
    </row>
    <row r="113" spans="1:113">
      <c r="A113" s="1"/>
      <c r="B113" s="1"/>
      <c r="C113" s="1"/>
      <c r="N113"/>
      <c r="DG113"/>
      <c r="DH113"/>
      <c r="DI113"/>
    </row>
    <row r="114" spans="1:113">
      <c r="A114" s="1" t="s">
        <v>192</v>
      </c>
      <c r="B114" s="1"/>
      <c r="C114" s="1"/>
      <c r="N114"/>
      <c r="DG114"/>
      <c r="DH114"/>
      <c r="DI114"/>
    </row>
    <row r="115" spans="1:113">
      <c r="A115" s="1" t="s">
        <v>193</v>
      </c>
      <c r="B115" s="1"/>
      <c r="C115" s="1"/>
      <c r="N115"/>
      <c r="DG115"/>
      <c r="DH115"/>
      <c r="DI115"/>
    </row>
    <row r="116" spans="1:113">
      <c r="A116" s="1" t="s">
        <v>194</v>
      </c>
      <c r="B116" s="1"/>
      <c r="C116" s="1"/>
      <c r="N116"/>
      <c r="DG116"/>
      <c r="DH116"/>
      <c r="DI116"/>
    </row>
    <row r="117" spans="1:113">
      <c r="A117" s="1" t="s">
        <v>195</v>
      </c>
      <c r="B117" s="1"/>
      <c r="C117" s="1"/>
      <c r="N117"/>
      <c r="DG117"/>
      <c r="DH117"/>
      <c r="DI117"/>
    </row>
    <row r="118" spans="1:113">
      <c r="A118" s="1" t="s">
        <v>196</v>
      </c>
      <c r="B118" s="1"/>
      <c r="C118" s="1"/>
      <c r="N118"/>
      <c r="DG118"/>
      <c r="DH118"/>
      <c r="DI118"/>
    </row>
    <row r="119" spans="1:113">
      <c r="A119" s="1" t="s">
        <v>197</v>
      </c>
      <c r="B119" s="1"/>
      <c r="C119" s="1"/>
      <c r="N119"/>
      <c r="DG119"/>
      <c r="DH119"/>
      <c r="DI119"/>
    </row>
    <row r="120" spans="1:113">
      <c r="A120" s="1" t="s">
        <v>198</v>
      </c>
      <c r="B120" s="1"/>
      <c r="C120" s="1"/>
      <c r="N120"/>
      <c r="DG120"/>
      <c r="DH120"/>
      <c r="DI120"/>
    </row>
    <row r="121" spans="1:113">
      <c r="A121" s="1" t="s">
        <v>199</v>
      </c>
      <c r="B121" s="1"/>
      <c r="C121" s="1"/>
      <c r="N121"/>
      <c r="DG121"/>
      <c r="DH121"/>
      <c r="DI121"/>
    </row>
    <row r="122" spans="1:113">
      <c r="A122" s="1" t="s">
        <v>200</v>
      </c>
      <c r="B122" s="1"/>
      <c r="C122" s="1"/>
      <c r="N122"/>
      <c r="DG122"/>
      <c r="DH122"/>
      <c r="DI122"/>
    </row>
    <row r="123" spans="1:113">
      <c r="A123" s="1" t="s">
        <v>201</v>
      </c>
      <c r="B123" s="1"/>
      <c r="C123" s="1"/>
      <c r="N123"/>
      <c r="DG123"/>
      <c r="DH123"/>
      <c r="DI123"/>
    </row>
    <row r="124" spans="1:113">
      <c r="A124" s="1" t="s">
        <v>202</v>
      </c>
      <c r="B124" s="1"/>
      <c r="C124" s="1"/>
      <c r="N124"/>
      <c r="DG124"/>
      <c r="DH124"/>
      <c r="DI124"/>
    </row>
    <row r="125" spans="1:113">
      <c r="A125" s="1"/>
      <c r="B125" s="1"/>
      <c r="C125" s="1"/>
      <c r="N125"/>
      <c r="DG125"/>
      <c r="DH125"/>
      <c r="DI125"/>
    </row>
    <row r="126" spans="1:113">
      <c r="A126" s="1" t="s">
        <v>203</v>
      </c>
      <c r="B126" s="1"/>
      <c r="C126" s="1"/>
      <c r="N126"/>
      <c r="DG126"/>
      <c r="DH126"/>
      <c r="DI126"/>
    </row>
    <row r="127" spans="1:113">
      <c r="A127" s="1"/>
      <c r="B127" s="1"/>
      <c r="C127" s="1"/>
      <c r="N127"/>
      <c r="DG127"/>
      <c r="DH127"/>
      <c r="DI127"/>
    </row>
    <row r="128" spans="1:113">
      <c r="A128" s="1"/>
      <c r="B128" s="1"/>
      <c r="C128" s="1"/>
      <c r="N128"/>
      <c r="DG128"/>
      <c r="DH128"/>
      <c r="DI128"/>
    </row>
    <row r="129" spans="1:113">
      <c r="A129" s="1" t="s">
        <v>204</v>
      </c>
      <c r="B129" s="1"/>
      <c r="C129" s="1"/>
      <c r="N129"/>
      <c r="DG129"/>
      <c r="DH129"/>
      <c r="DI129"/>
    </row>
    <row r="130" spans="1:113">
      <c r="A130" s="1" t="s">
        <v>205</v>
      </c>
      <c r="B130" s="1"/>
      <c r="C130" s="1"/>
      <c r="N130"/>
      <c r="DG130"/>
      <c r="DH130"/>
      <c r="DI130"/>
    </row>
    <row r="131" spans="1:113">
      <c r="A131" s="1" t="s">
        <v>206</v>
      </c>
      <c r="B131" s="1"/>
      <c r="C131" s="1"/>
      <c r="N131"/>
      <c r="DG131"/>
      <c r="DH131"/>
      <c r="DI131"/>
    </row>
    <row r="132" spans="1:113">
      <c r="A132" s="1" t="s">
        <v>207</v>
      </c>
      <c r="B132" s="1"/>
      <c r="C132" s="1"/>
      <c r="N132"/>
      <c r="DG132"/>
      <c r="DH132"/>
      <c r="DI132"/>
    </row>
    <row r="133" spans="1:113">
      <c r="A133" s="1" t="s">
        <v>208</v>
      </c>
      <c r="B133" s="1"/>
      <c r="C133" s="1"/>
      <c r="N133"/>
      <c r="DG133"/>
      <c r="DH133"/>
      <c r="DI133"/>
    </row>
    <row r="134" spans="1:113">
      <c r="A134" s="1" t="s">
        <v>209</v>
      </c>
      <c r="B134" s="1"/>
      <c r="C134" s="1"/>
      <c r="N134"/>
      <c r="DG134"/>
      <c r="DH134"/>
      <c r="DI134"/>
    </row>
    <row r="135" spans="1:113">
      <c r="A135" s="1" t="s">
        <v>210</v>
      </c>
      <c r="B135" s="1"/>
      <c r="C135" s="1"/>
      <c r="N135"/>
      <c r="DG135"/>
      <c r="DH135"/>
      <c r="DI135"/>
    </row>
    <row r="136" spans="1:113">
      <c r="A136" s="1" t="s">
        <v>211</v>
      </c>
      <c r="B136" s="1"/>
      <c r="C136" s="1"/>
      <c r="N136"/>
      <c r="DG136"/>
      <c r="DH136"/>
      <c r="DI136"/>
    </row>
    <row r="137" spans="1:113">
      <c r="A137" s="1" t="s">
        <v>436</v>
      </c>
      <c r="B137" s="1"/>
      <c r="C137" s="1"/>
      <c r="N137"/>
      <c r="DG137"/>
      <c r="DH137"/>
      <c r="DI137"/>
    </row>
    <row r="138" spans="1:113">
      <c r="A138" s="1" t="s">
        <v>444</v>
      </c>
      <c r="B138" s="1"/>
      <c r="C138" s="1"/>
      <c r="N138"/>
      <c r="DG138"/>
      <c r="DH138"/>
      <c r="DI138"/>
    </row>
    <row r="139" spans="1:113">
      <c r="A139" s="1" t="s">
        <v>445</v>
      </c>
      <c r="B139" s="1"/>
      <c r="C139" s="1"/>
      <c r="N139"/>
      <c r="DG139"/>
      <c r="DH139"/>
      <c r="DI139"/>
    </row>
    <row r="140" spans="1:113">
      <c r="A140" s="1" t="s">
        <v>466</v>
      </c>
      <c r="B140" s="1"/>
      <c r="C140" s="1"/>
      <c r="N140"/>
      <c r="DG140"/>
      <c r="DH140"/>
      <c r="DI140"/>
    </row>
    <row r="141" spans="1:113">
      <c r="A141" s="1" t="s">
        <v>432</v>
      </c>
      <c r="B141" s="1"/>
      <c r="C141" s="1"/>
      <c r="N141"/>
      <c r="DG141"/>
      <c r="DH141"/>
      <c r="DI141"/>
    </row>
    <row r="142" spans="1:113">
      <c r="A142" s="1"/>
      <c r="B142" s="1"/>
      <c r="C142" s="1"/>
      <c r="N142"/>
      <c r="DG142"/>
      <c r="DH142"/>
      <c r="DI142"/>
    </row>
    <row r="143" spans="1:113">
      <c r="A143" s="1" t="s">
        <v>212</v>
      </c>
      <c r="B143" s="1"/>
      <c r="C143" s="1"/>
      <c r="N143"/>
      <c r="DG143"/>
      <c r="DH143"/>
      <c r="DI143"/>
    </row>
    <row r="144" spans="1:113">
      <c r="A144" s="1"/>
      <c r="B144" s="1"/>
      <c r="C144" s="1"/>
      <c r="N144"/>
      <c r="DG144"/>
      <c r="DH144"/>
      <c r="DI144"/>
    </row>
    <row r="145" spans="1:113">
      <c r="A145" s="1"/>
      <c r="B145" s="1"/>
      <c r="C145" s="1"/>
      <c r="N145"/>
      <c r="DG145"/>
      <c r="DH145"/>
      <c r="DI145"/>
    </row>
    <row r="146" spans="1:113">
      <c r="A146" s="1" t="s">
        <v>160</v>
      </c>
      <c r="B146" s="1"/>
      <c r="C146" s="1"/>
      <c r="N146"/>
      <c r="DG146"/>
      <c r="DH146"/>
      <c r="DI146"/>
    </row>
    <row r="147" spans="1:113">
      <c r="A147" s="1" t="s">
        <v>161</v>
      </c>
      <c r="B147" s="1"/>
      <c r="C147" s="1"/>
      <c r="N147"/>
      <c r="DG147"/>
      <c r="DH147"/>
      <c r="DI147"/>
    </row>
    <row r="148" spans="1:113">
      <c r="A148" s="1" t="s">
        <v>162</v>
      </c>
      <c r="B148" s="1"/>
      <c r="C148" s="1"/>
      <c r="N148"/>
      <c r="DG148"/>
      <c r="DH148"/>
      <c r="DI148"/>
    </row>
    <row r="149" spans="1:113">
      <c r="A149" s="1" t="s">
        <v>163</v>
      </c>
      <c r="B149" s="1"/>
      <c r="C149" s="1"/>
      <c r="N149"/>
      <c r="DG149"/>
      <c r="DH149"/>
      <c r="DI149"/>
    </row>
    <row r="150" spans="1:113">
      <c r="A150" s="1" t="s">
        <v>164</v>
      </c>
      <c r="B150" s="1"/>
      <c r="C150" s="1"/>
      <c r="N150"/>
      <c r="DG150"/>
      <c r="DH150"/>
      <c r="DI150"/>
    </row>
    <row r="151" spans="1:113">
      <c r="A151" s="1" t="s">
        <v>165</v>
      </c>
      <c r="B151" s="1"/>
      <c r="C151" s="1"/>
      <c r="N151"/>
      <c r="DG151"/>
      <c r="DH151"/>
      <c r="DI151"/>
    </row>
    <row r="152" spans="1:113">
      <c r="A152" s="1" t="s">
        <v>166</v>
      </c>
      <c r="B152" s="1"/>
      <c r="C152" s="1"/>
      <c r="N152"/>
      <c r="DG152"/>
      <c r="DH152"/>
      <c r="DI152"/>
    </row>
    <row r="153" spans="1:113">
      <c r="A153" s="1" t="s">
        <v>167</v>
      </c>
      <c r="B153" s="1"/>
      <c r="C153" s="1"/>
      <c r="N153"/>
      <c r="DG153"/>
      <c r="DH153"/>
      <c r="DI153"/>
    </row>
    <row r="154" spans="1:113">
      <c r="A154" s="1"/>
      <c r="B154" s="1"/>
      <c r="C154" s="1"/>
      <c r="N154"/>
      <c r="DG154"/>
      <c r="DH154"/>
      <c r="DI154"/>
    </row>
    <row r="155" spans="1:113">
      <c r="A155" s="1" t="s">
        <v>213</v>
      </c>
      <c r="B155" s="1"/>
      <c r="C155" s="1"/>
      <c r="N155"/>
      <c r="DG155"/>
      <c r="DH155"/>
      <c r="DI155"/>
    </row>
    <row r="156" spans="1:113">
      <c r="A156" s="1"/>
      <c r="B156" s="1"/>
      <c r="C156" s="1"/>
      <c r="N156"/>
      <c r="DG156"/>
      <c r="DH156"/>
      <c r="DI156"/>
    </row>
    <row r="157" spans="1:113">
      <c r="A157" s="1"/>
      <c r="B157" s="1"/>
      <c r="C157" s="1"/>
      <c r="N157"/>
      <c r="DG157"/>
      <c r="DH157"/>
      <c r="DI157"/>
    </row>
    <row r="158" spans="1:113">
      <c r="A158" s="1" t="s">
        <v>171</v>
      </c>
      <c r="B158" s="1"/>
      <c r="C158" s="1"/>
      <c r="N158"/>
      <c r="DG158"/>
      <c r="DH158"/>
      <c r="DI158"/>
    </row>
    <row r="159" spans="1:113">
      <c r="A159" s="1" t="s">
        <v>172</v>
      </c>
      <c r="B159" s="1"/>
      <c r="C159" s="1"/>
      <c r="N159"/>
      <c r="DG159"/>
      <c r="DH159"/>
      <c r="DI159"/>
    </row>
    <row r="160" spans="1:113">
      <c r="A160" s="1" t="s">
        <v>173</v>
      </c>
      <c r="B160" s="1"/>
      <c r="C160" s="1"/>
      <c r="N160"/>
      <c r="DG160"/>
      <c r="DH160"/>
      <c r="DI160"/>
    </row>
    <row r="161" spans="1:113">
      <c r="A161" s="1" t="s">
        <v>174</v>
      </c>
      <c r="B161" s="1"/>
      <c r="C161" s="1"/>
      <c r="N161"/>
      <c r="DG161"/>
      <c r="DH161"/>
      <c r="DI161"/>
    </row>
    <row r="162" spans="1:113">
      <c r="A162" s="1"/>
      <c r="B162" s="1"/>
      <c r="C162" s="1"/>
      <c r="N162"/>
      <c r="DG162"/>
      <c r="DH162"/>
      <c r="DI162"/>
    </row>
    <row r="163" spans="1:113">
      <c r="A163" s="1" t="s">
        <v>177</v>
      </c>
      <c r="B163" s="1"/>
      <c r="C163" s="1"/>
      <c r="N163"/>
      <c r="DG163"/>
      <c r="DH163"/>
      <c r="DI163"/>
    </row>
    <row r="164" spans="1:113">
      <c r="A164" s="1"/>
      <c r="B164" s="1"/>
      <c r="C164" s="1"/>
      <c r="N164"/>
      <c r="DG164"/>
      <c r="DH164"/>
      <c r="DI164"/>
    </row>
    <row r="165" spans="1:113">
      <c r="A165" s="1"/>
      <c r="B165" s="1"/>
      <c r="C165" s="1"/>
      <c r="N165"/>
      <c r="DG165"/>
      <c r="DH165"/>
      <c r="DI165"/>
    </row>
    <row r="166" spans="1:113">
      <c r="A166" s="1" t="s">
        <v>178</v>
      </c>
      <c r="B166" s="1"/>
      <c r="C166" s="1"/>
      <c r="N166"/>
    </row>
    <row r="167" spans="1:113">
      <c r="A167" s="1" t="s">
        <v>179</v>
      </c>
      <c r="B167" s="1"/>
      <c r="C167" s="1"/>
      <c r="N167"/>
    </row>
    <row r="168" spans="1:113">
      <c r="A168" s="1" t="s">
        <v>180</v>
      </c>
      <c r="B168" s="1"/>
      <c r="C168" s="1"/>
      <c r="N168"/>
    </row>
    <row r="169" spans="1:113">
      <c r="A169" s="1" t="s">
        <v>181</v>
      </c>
      <c r="B169" s="1"/>
      <c r="C169" s="1"/>
      <c r="N169"/>
    </row>
    <row r="170" spans="1:113">
      <c r="A170" s="1"/>
      <c r="B170" s="1"/>
      <c r="C170" s="1"/>
      <c r="N170"/>
    </row>
    <row r="171" spans="1:113">
      <c r="A171" s="1" t="s">
        <v>182</v>
      </c>
      <c r="B171" s="1"/>
      <c r="C171" s="1"/>
      <c r="N171"/>
    </row>
    <row r="172" spans="1:113">
      <c r="A172" s="1"/>
      <c r="B172" s="1"/>
      <c r="C172" s="1"/>
      <c r="N172"/>
    </row>
    <row r="173" spans="1:113">
      <c r="A173" s="1"/>
      <c r="B173" s="1"/>
      <c r="C173" s="1"/>
      <c r="N173"/>
    </row>
    <row r="174" spans="1:113">
      <c r="A174" s="1" t="s">
        <v>183</v>
      </c>
      <c r="B174" s="1"/>
      <c r="C174" s="1"/>
      <c r="N174"/>
    </row>
    <row r="175" spans="1:113">
      <c r="A175" s="1" t="s">
        <v>184</v>
      </c>
      <c r="B175" s="1"/>
      <c r="C175" s="1"/>
      <c r="N175"/>
    </row>
    <row r="176" spans="1:113">
      <c r="A176" s="1" t="s">
        <v>185</v>
      </c>
      <c r="B176" s="1"/>
      <c r="C176" s="1"/>
      <c r="N176"/>
    </row>
    <row r="177" spans="1:14">
      <c r="A177" s="1" t="s">
        <v>186</v>
      </c>
      <c r="B177" s="1"/>
      <c r="C177" s="1"/>
      <c r="N177"/>
    </row>
    <row r="178" spans="1:14">
      <c r="A178" s="1" t="s">
        <v>187</v>
      </c>
      <c r="B178" s="1"/>
      <c r="C178" s="1"/>
      <c r="N178"/>
    </row>
    <row r="179" spans="1:14">
      <c r="A179" s="1" t="s">
        <v>279</v>
      </c>
      <c r="B179" s="1"/>
      <c r="C179" s="1"/>
      <c r="N179"/>
    </row>
    <row r="180" spans="1:14">
      <c r="A180" s="1" t="s">
        <v>280</v>
      </c>
      <c r="B180" s="1"/>
      <c r="C180" s="1"/>
      <c r="N180"/>
    </row>
    <row r="181" spans="1:14">
      <c r="A181" s="1" t="s">
        <v>281</v>
      </c>
      <c r="B181" s="1"/>
      <c r="C181" s="1"/>
      <c r="N181"/>
    </row>
    <row r="182" spans="1:14">
      <c r="A182" s="1" t="s">
        <v>282</v>
      </c>
      <c r="B182" s="1"/>
      <c r="C182" s="1"/>
      <c r="N182"/>
    </row>
    <row r="183" spans="1:14">
      <c r="A183" s="1" t="s">
        <v>283</v>
      </c>
      <c r="B183" s="1"/>
      <c r="C183" s="1"/>
      <c r="N183"/>
    </row>
    <row r="184" spans="1:14">
      <c r="A184" s="1" t="s">
        <v>284</v>
      </c>
      <c r="B184" s="1"/>
      <c r="C184" s="1"/>
      <c r="N184"/>
    </row>
    <row r="185" spans="1:14">
      <c r="A185" s="1" t="s">
        <v>285</v>
      </c>
      <c r="B185" s="1"/>
      <c r="C185" s="1"/>
      <c r="N185"/>
    </row>
    <row r="186" spans="1:14">
      <c r="A186" s="1" t="s">
        <v>286</v>
      </c>
      <c r="B186" s="1"/>
      <c r="C186" s="1"/>
      <c r="N186"/>
    </row>
    <row r="187" spans="1:14">
      <c r="A187" s="1" t="s">
        <v>287</v>
      </c>
      <c r="B187" s="1"/>
      <c r="C187" s="1"/>
      <c r="N187"/>
    </row>
    <row r="188" spans="1:14">
      <c r="A188" s="1" t="s">
        <v>288</v>
      </c>
      <c r="B188" s="1"/>
      <c r="C188" s="1"/>
      <c r="N188"/>
    </row>
    <row r="189" spans="1:14">
      <c r="A189" s="1" t="s">
        <v>289</v>
      </c>
      <c r="B189" s="1"/>
      <c r="C189" s="1"/>
      <c r="N189"/>
    </row>
    <row r="190" spans="1:14">
      <c r="A190" s="1" t="s">
        <v>421</v>
      </c>
      <c r="B190" s="1"/>
      <c r="C190" s="1"/>
      <c r="N190"/>
    </row>
    <row r="191" spans="1:14">
      <c r="A191" s="1" t="s">
        <v>431</v>
      </c>
      <c r="B191" s="1"/>
      <c r="C191" s="1"/>
      <c r="N191"/>
    </row>
    <row r="192" spans="1:14">
      <c r="A192" s="1"/>
      <c r="B192" s="1"/>
      <c r="C192" s="1"/>
      <c r="N192"/>
    </row>
    <row r="193" spans="1:14">
      <c r="A193" s="1" t="s">
        <v>189</v>
      </c>
      <c r="B193" s="1"/>
      <c r="C193" s="1"/>
      <c r="N193"/>
    </row>
    <row r="194" spans="1:14">
      <c r="A194" s="1"/>
      <c r="B194" s="1"/>
      <c r="C194" s="1"/>
      <c r="N194"/>
    </row>
    <row r="195" spans="1:14">
      <c r="A195" s="1"/>
      <c r="B195" s="1"/>
      <c r="C195" s="1"/>
      <c r="N195"/>
    </row>
    <row r="196" spans="1:14">
      <c r="A196" s="1" t="s">
        <v>190</v>
      </c>
      <c r="B196" s="1"/>
      <c r="C196" s="1"/>
      <c r="N196"/>
    </row>
    <row r="197" spans="1:14">
      <c r="A197" s="1" t="s">
        <v>127</v>
      </c>
      <c r="B197" s="1"/>
      <c r="C197" s="1"/>
      <c r="N197"/>
    </row>
    <row r="198" spans="1:14">
      <c r="A198" s="1" t="s">
        <v>435</v>
      </c>
      <c r="B198" s="1"/>
      <c r="C198" s="1"/>
      <c r="N198"/>
    </row>
    <row r="199" spans="1:14">
      <c r="A199" s="1"/>
      <c r="B199" s="1"/>
      <c r="C199" s="1"/>
      <c r="N199"/>
    </row>
    <row r="200" spans="1:14">
      <c r="A200" s="1" t="s">
        <v>176</v>
      </c>
      <c r="B200" s="1"/>
      <c r="C200" s="1"/>
      <c r="N200"/>
    </row>
    <row r="201" spans="1:14">
      <c r="A201" s="1" t="s">
        <v>149</v>
      </c>
      <c r="B201" s="1"/>
      <c r="C201" s="1"/>
      <c r="N201"/>
    </row>
    <row r="202" spans="1:14">
      <c r="A202" s="1" t="s">
        <v>118</v>
      </c>
      <c r="B202" s="1"/>
      <c r="C202" s="1"/>
      <c r="N202"/>
    </row>
    <row r="203" spans="1:14">
      <c r="A203" s="1" t="s">
        <v>188</v>
      </c>
      <c r="B203" s="1"/>
      <c r="C203" s="1"/>
      <c r="N203"/>
    </row>
    <row r="204" spans="1:14">
      <c r="A204" s="1" t="s">
        <v>121</v>
      </c>
      <c r="B204" s="1"/>
      <c r="C204" s="1"/>
      <c r="N204"/>
    </row>
    <row r="205" spans="1:14">
      <c r="A205" s="1" t="s">
        <v>192</v>
      </c>
      <c r="B205" s="1"/>
      <c r="C205" s="1"/>
      <c r="N205"/>
    </row>
    <row r="206" spans="1:14">
      <c r="A206" s="1" t="s">
        <v>193</v>
      </c>
      <c r="B206" s="1"/>
      <c r="C206" s="1"/>
      <c r="N206"/>
    </row>
    <row r="207" spans="1:14">
      <c r="A207" s="1" t="s">
        <v>194</v>
      </c>
      <c r="B207" s="1"/>
      <c r="C207" s="1"/>
      <c r="N207"/>
    </row>
    <row r="208" spans="1:14">
      <c r="A208" s="1" t="s">
        <v>195</v>
      </c>
      <c r="B208" s="1"/>
      <c r="C208" s="1"/>
      <c r="N208"/>
    </row>
    <row r="209" spans="1:14">
      <c r="A209" s="1" t="s">
        <v>196</v>
      </c>
      <c r="B209" s="1"/>
      <c r="C209" s="1"/>
      <c r="N209"/>
    </row>
    <row r="210" spans="1:14">
      <c r="A210" s="1" t="s">
        <v>197</v>
      </c>
      <c r="B210" s="1"/>
      <c r="C210" s="1"/>
      <c r="N210"/>
    </row>
    <row r="211" spans="1:14">
      <c r="A211" s="1" t="s">
        <v>198</v>
      </c>
      <c r="B211" s="1"/>
      <c r="C211" s="1"/>
      <c r="N211"/>
    </row>
    <row r="212" spans="1:14">
      <c r="A212" s="1" t="s">
        <v>199</v>
      </c>
      <c r="B212" s="1"/>
      <c r="C212" s="1"/>
      <c r="N212"/>
    </row>
    <row r="213" spans="1:14">
      <c r="A213" s="1" t="s">
        <v>200</v>
      </c>
      <c r="B213" s="1"/>
      <c r="C213" s="1"/>
      <c r="N213"/>
    </row>
    <row r="214" spans="1:14">
      <c r="A214" s="1" t="s">
        <v>201</v>
      </c>
      <c r="B214" s="1"/>
      <c r="C214" s="1"/>
      <c r="N214"/>
    </row>
    <row r="215" spans="1:14">
      <c r="A215" s="1" t="s">
        <v>202</v>
      </c>
      <c r="B215" s="1"/>
      <c r="C215" s="1"/>
      <c r="N215"/>
    </row>
    <row r="216" spans="1:14">
      <c r="A216" s="1"/>
      <c r="B216" s="1"/>
      <c r="C216" s="1"/>
      <c r="N216"/>
    </row>
    <row r="217" spans="1:14">
      <c r="A217" s="1" t="s">
        <v>203</v>
      </c>
      <c r="B217" s="1"/>
      <c r="C217" s="1"/>
      <c r="N217"/>
    </row>
    <row r="218" spans="1:14">
      <c r="A218" s="1"/>
      <c r="B218" s="1"/>
      <c r="C218" s="1"/>
      <c r="N218"/>
    </row>
    <row r="219" spans="1:14">
      <c r="A219" s="1"/>
      <c r="B219" s="1"/>
      <c r="C219" s="1"/>
      <c r="N219"/>
    </row>
    <row r="220" spans="1:14">
      <c r="A220" s="1" t="s">
        <v>204</v>
      </c>
      <c r="B220" s="1"/>
      <c r="C220" s="1"/>
      <c r="N220"/>
    </row>
    <row r="221" spans="1:14">
      <c r="A221" s="1" t="s">
        <v>205</v>
      </c>
      <c r="B221" s="1"/>
      <c r="C221" s="1"/>
      <c r="N221"/>
    </row>
    <row r="222" spans="1:14">
      <c r="A222" s="1" t="s">
        <v>206</v>
      </c>
      <c r="B222" s="1"/>
      <c r="C222" s="1"/>
      <c r="N222"/>
    </row>
    <row r="223" spans="1:14">
      <c r="A223" s="1" t="s">
        <v>207</v>
      </c>
      <c r="B223" s="1"/>
      <c r="C223" s="1"/>
      <c r="N223"/>
    </row>
    <row r="224" spans="1:14">
      <c r="A224" s="1" t="s">
        <v>208</v>
      </c>
      <c r="B224" s="1"/>
      <c r="C224" s="1"/>
      <c r="N224"/>
    </row>
    <row r="225" spans="1:14">
      <c r="A225" s="1" t="s">
        <v>209</v>
      </c>
      <c r="B225" s="1"/>
      <c r="C225" s="1"/>
      <c r="N225"/>
    </row>
    <row r="226" spans="1:14">
      <c r="A226" s="1" t="s">
        <v>210</v>
      </c>
      <c r="B226" s="1"/>
      <c r="C226" s="1"/>
      <c r="N226"/>
    </row>
    <row r="227" spans="1:14">
      <c r="A227" s="1" t="s">
        <v>211</v>
      </c>
      <c r="B227" s="1"/>
      <c r="C227" s="1"/>
      <c r="N227"/>
    </row>
    <row r="228" spans="1:14">
      <c r="A228" s="1" t="s">
        <v>436</v>
      </c>
      <c r="B228" s="1"/>
      <c r="C228" s="1"/>
      <c r="N228"/>
    </row>
    <row r="229" spans="1:14">
      <c r="A229" s="1" t="s">
        <v>444</v>
      </c>
      <c r="B229" s="1"/>
      <c r="C229" s="1"/>
      <c r="N229"/>
    </row>
    <row r="230" spans="1:14">
      <c r="A230" s="1" t="s">
        <v>445</v>
      </c>
      <c r="B230" s="1"/>
      <c r="C230" s="1"/>
      <c r="N230"/>
    </row>
    <row r="231" spans="1:14">
      <c r="A231" s="1" t="s">
        <v>466</v>
      </c>
      <c r="B231" s="1"/>
      <c r="C231" s="1"/>
      <c r="N231"/>
    </row>
    <row r="232" spans="1:14">
      <c r="A232" s="1"/>
      <c r="B232" s="1"/>
      <c r="C232" s="1"/>
      <c r="N232"/>
    </row>
    <row r="233" spans="1:14">
      <c r="A233" s="1" t="s">
        <v>422</v>
      </c>
      <c r="B233" s="1"/>
      <c r="C233" s="1"/>
      <c r="N233"/>
    </row>
    <row r="234" spans="1:14">
      <c r="A234" s="1"/>
      <c r="B234" s="1"/>
      <c r="C234" s="1"/>
      <c r="N234"/>
    </row>
    <row r="235" spans="1:14">
      <c r="A235" s="1" t="s">
        <v>214</v>
      </c>
      <c r="B235" s="1"/>
      <c r="C235" s="1"/>
      <c r="N235"/>
    </row>
    <row r="236" spans="1:14">
      <c r="A236" s="1" t="s">
        <v>225</v>
      </c>
      <c r="B236" s="1"/>
      <c r="C236" s="1"/>
      <c r="N236"/>
    </row>
    <row r="237" spans="1:14">
      <c r="A237" s="1" t="s">
        <v>446</v>
      </c>
      <c r="B237" s="1"/>
      <c r="C237" s="1"/>
      <c r="N237"/>
    </row>
    <row r="238" spans="1:14">
      <c r="A238" s="1" t="s">
        <v>447</v>
      </c>
      <c r="B238" s="1"/>
      <c r="C238" s="1"/>
      <c r="N238"/>
    </row>
    <row r="239" spans="1:14">
      <c r="A239" s="1" t="s">
        <v>433</v>
      </c>
      <c r="B239" s="1"/>
      <c r="C239" s="1"/>
      <c r="N239"/>
    </row>
    <row r="240" spans="1:14">
      <c r="A240" s="1" t="s">
        <v>228</v>
      </c>
      <c r="B240" s="1"/>
      <c r="C240" s="1"/>
      <c r="N240"/>
    </row>
    <row r="241" spans="1:14">
      <c r="A241" s="1" t="s">
        <v>437</v>
      </c>
      <c r="B241" s="1"/>
      <c r="C241" s="1"/>
      <c r="N241"/>
    </row>
    <row r="242" spans="1:14">
      <c r="A242" s="1" t="s">
        <v>438</v>
      </c>
      <c r="B242" s="1"/>
      <c r="C242" s="1"/>
      <c r="N242"/>
    </row>
    <row r="243" spans="1:14">
      <c r="A243" s="1" t="s">
        <v>166</v>
      </c>
      <c r="B243" s="1"/>
      <c r="C243" s="1"/>
      <c r="N243"/>
    </row>
    <row r="244" spans="1:14">
      <c r="A244" s="1" t="s">
        <v>165</v>
      </c>
      <c r="B244" s="1"/>
      <c r="C244" s="1"/>
      <c r="N244"/>
    </row>
    <row r="245" spans="1:14">
      <c r="A245" s="1" t="s">
        <v>439</v>
      </c>
      <c r="B245" s="1"/>
      <c r="C245" s="1"/>
      <c r="N245"/>
    </row>
    <row r="246" spans="1:14">
      <c r="A246" s="1" t="s">
        <v>440</v>
      </c>
      <c r="B246" s="1"/>
      <c r="C246" s="1"/>
      <c r="N246"/>
    </row>
    <row r="247" spans="1:14">
      <c r="A247" s="1" t="s">
        <v>442</v>
      </c>
      <c r="B247" s="1"/>
      <c r="C247" s="1"/>
      <c r="N247"/>
    </row>
    <row r="248" spans="1:14">
      <c r="A248" s="1" t="s">
        <v>229</v>
      </c>
      <c r="B248" s="1"/>
      <c r="C248" s="1"/>
      <c r="N248"/>
    </row>
    <row r="249" spans="1:14">
      <c r="A249" s="1"/>
      <c r="B249" s="1"/>
      <c r="C249" s="1"/>
      <c r="N249"/>
    </row>
    <row r="250" spans="1:14">
      <c r="A250" s="1" t="s">
        <v>214</v>
      </c>
      <c r="B250" s="1"/>
      <c r="C250" s="1"/>
      <c r="N250"/>
    </row>
    <row r="251" spans="1:14">
      <c r="A251" s="1"/>
      <c r="B251" s="1"/>
      <c r="C251" s="1"/>
      <c r="N251"/>
    </row>
    <row r="252" spans="1:14">
      <c r="A252" s="1" t="s">
        <v>215</v>
      </c>
      <c r="B252" s="1"/>
      <c r="C252" s="1"/>
      <c r="N252"/>
    </row>
    <row r="253" spans="1:14">
      <c r="A253" s="1"/>
      <c r="B253" s="1"/>
      <c r="C253" s="1"/>
      <c r="N253"/>
    </row>
    <row r="254" spans="1:14">
      <c r="A254" s="1" t="s">
        <v>216</v>
      </c>
      <c r="B254" s="1"/>
      <c r="C254" s="1"/>
      <c r="N254"/>
    </row>
    <row r="255" spans="1:14">
      <c r="A255" s="1" t="s">
        <v>217</v>
      </c>
      <c r="B255" s="1" t="s">
        <v>0</v>
      </c>
      <c r="C255" s="1" t="s">
        <v>1</v>
      </c>
      <c r="D255" s="2" t="s">
        <v>455</v>
      </c>
      <c r="E255" s="2" t="s">
        <v>218</v>
      </c>
      <c r="F255" s="2" t="s">
        <v>2</v>
      </c>
      <c r="G255" s="2" t="s">
        <v>3</v>
      </c>
      <c r="H255" s="2" t="s">
        <v>219</v>
      </c>
      <c r="I255" s="2" t="s">
        <v>220</v>
      </c>
      <c r="J255" s="2" t="s">
        <v>221</v>
      </c>
      <c r="K255" s="2" t="s">
        <v>222</v>
      </c>
      <c r="L255" s="2" t="s">
        <v>223</v>
      </c>
      <c r="M255" s="2" t="s">
        <v>224</v>
      </c>
      <c r="N255"/>
    </row>
    <row r="256" spans="1:14">
      <c r="A256" s="1" t="s">
        <v>32</v>
      </c>
      <c r="B256" s="1"/>
      <c r="C256" s="1"/>
      <c r="N256"/>
    </row>
    <row r="257" spans="1:14">
      <c r="A257" s="1" t="s">
        <v>460</v>
      </c>
      <c r="B257" s="1">
        <v>9</v>
      </c>
      <c r="C257" s="1">
        <v>4</v>
      </c>
      <c r="D257" s="2">
        <v>0</v>
      </c>
      <c r="E257" s="2">
        <v>0.69199999999999995</v>
      </c>
      <c r="F257" s="2">
        <v>350</v>
      </c>
      <c r="G257" s="2">
        <v>200</v>
      </c>
      <c r="H257" s="2">
        <v>150</v>
      </c>
      <c r="I257" s="2">
        <v>11.5</v>
      </c>
      <c r="J257" s="2">
        <v>-1.3</v>
      </c>
      <c r="K257" s="2">
        <v>10.199999999999999</v>
      </c>
      <c r="L257" s="2">
        <v>2.7</v>
      </c>
      <c r="M257" s="2">
        <v>7.5</v>
      </c>
      <c r="N257"/>
    </row>
    <row r="258" spans="1:14">
      <c r="A258" s="1" t="s">
        <v>463</v>
      </c>
      <c r="B258" s="1">
        <v>7</v>
      </c>
      <c r="C258" s="1">
        <v>6</v>
      </c>
      <c r="D258" s="2">
        <v>0</v>
      </c>
      <c r="E258" s="2">
        <v>0.53800000000000003</v>
      </c>
      <c r="F258" s="2">
        <v>363</v>
      </c>
      <c r="G258" s="2">
        <v>229</v>
      </c>
      <c r="H258" s="2">
        <v>134</v>
      </c>
      <c r="I258" s="2">
        <v>10.3</v>
      </c>
      <c r="J258" s="2">
        <v>-0.7</v>
      </c>
      <c r="K258" s="2">
        <v>9.6</v>
      </c>
      <c r="L258" s="2">
        <v>4.7</v>
      </c>
      <c r="M258" s="2">
        <v>4.8</v>
      </c>
      <c r="N258"/>
    </row>
    <row r="259" spans="1:14">
      <c r="A259" s="1" t="s">
        <v>122</v>
      </c>
      <c r="B259" s="1">
        <v>6</v>
      </c>
      <c r="C259" s="1">
        <v>7</v>
      </c>
      <c r="D259" s="2">
        <v>0</v>
      </c>
      <c r="E259" s="2">
        <v>0.46200000000000002</v>
      </c>
      <c r="F259" s="2">
        <v>254</v>
      </c>
      <c r="G259" s="2">
        <v>288</v>
      </c>
      <c r="H259" s="2">
        <v>-34</v>
      </c>
      <c r="I259" s="2">
        <v>-2.6</v>
      </c>
      <c r="J259" s="2">
        <v>-1</v>
      </c>
      <c r="K259" s="2">
        <v>-3.6</v>
      </c>
      <c r="L259" s="2">
        <v>-3.7</v>
      </c>
      <c r="M259" s="2">
        <v>0.2</v>
      </c>
      <c r="N259"/>
    </row>
    <row r="260" spans="1:14">
      <c r="A260" s="1" t="s">
        <v>123</v>
      </c>
      <c r="B260" s="1">
        <v>3</v>
      </c>
      <c r="C260" s="1">
        <v>10</v>
      </c>
      <c r="D260" s="2">
        <v>0</v>
      </c>
      <c r="E260" s="2">
        <v>0.23100000000000001</v>
      </c>
      <c r="F260" s="2">
        <v>226</v>
      </c>
      <c r="G260" s="2">
        <v>397</v>
      </c>
      <c r="H260" s="2">
        <v>-171</v>
      </c>
      <c r="I260" s="2">
        <v>-13.2</v>
      </c>
      <c r="J260" s="2">
        <v>1.5</v>
      </c>
      <c r="K260" s="2">
        <v>-11.7</v>
      </c>
      <c r="L260" s="2">
        <v>-4.2</v>
      </c>
      <c r="M260" s="2">
        <v>-7.5</v>
      </c>
      <c r="N260"/>
    </row>
    <row r="261" spans="1:14">
      <c r="A261" s="1" t="s">
        <v>33</v>
      </c>
      <c r="B261" s="1"/>
      <c r="C261" s="1"/>
      <c r="N261"/>
    </row>
    <row r="262" spans="1:14">
      <c r="A262" s="1" t="s">
        <v>448</v>
      </c>
      <c r="B262" s="1">
        <v>8</v>
      </c>
      <c r="C262" s="1">
        <v>5</v>
      </c>
      <c r="D262" s="2">
        <v>0</v>
      </c>
      <c r="E262" s="2">
        <v>0.61499999999999999</v>
      </c>
      <c r="F262" s="2">
        <v>304</v>
      </c>
      <c r="G262" s="2">
        <v>284</v>
      </c>
      <c r="H262" s="2">
        <v>20</v>
      </c>
      <c r="I262" s="2">
        <v>1.5</v>
      </c>
      <c r="J262" s="2">
        <v>-1.2</v>
      </c>
      <c r="K262" s="2">
        <v>0.4</v>
      </c>
      <c r="L262" s="2">
        <v>-0.4</v>
      </c>
      <c r="M262" s="2">
        <v>0.7</v>
      </c>
      <c r="N262"/>
    </row>
    <row r="263" spans="1:14">
      <c r="A263" s="1" t="s">
        <v>105</v>
      </c>
      <c r="B263" s="1">
        <v>7</v>
      </c>
      <c r="C263" s="1">
        <v>6</v>
      </c>
      <c r="D263" s="2">
        <v>0</v>
      </c>
      <c r="E263" s="2">
        <v>0.53800000000000003</v>
      </c>
      <c r="F263" s="2">
        <v>278</v>
      </c>
      <c r="G263" s="2">
        <v>289</v>
      </c>
      <c r="H263" s="2">
        <v>-11</v>
      </c>
      <c r="I263" s="2">
        <v>-0.8</v>
      </c>
      <c r="J263" s="2">
        <v>-0.3</v>
      </c>
      <c r="K263" s="2">
        <v>-1.2</v>
      </c>
      <c r="L263" s="2">
        <v>-1.6</v>
      </c>
      <c r="M263" s="2">
        <v>0.4</v>
      </c>
      <c r="N263"/>
    </row>
    <row r="264" spans="1:14">
      <c r="A264" s="1" t="s">
        <v>58</v>
      </c>
      <c r="B264" s="1">
        <v>7</v>
      </c>
      <c r="C264" s="1">
        <v>6</v>
      </c>
      <c r="D264" s="2">
        <v>0</v>
      </c>
      <c r="E264" s="2">
        <v>0.53800000000000003</v>
      </c>
      <c r="F264" s="2">
        <v>354</v>
      </c>
      <c r="G264" s="2">
        <v>293</v>
      </c>
      <c r="H264" s="2">
        <v>61</v>
      </c>
      <c r="I264" s="2">
        <v>4.7</v>
      </c>
      <c r="J264" s="2">
        <v>-3.6</v>
      </c>
      <c r="K264" s="2">
        <v>1.1000000000000001</v>
      </c>
      <c r="L264" s="2">
        <v>2.2000000000000002</v>
      </c>
      <c r="M264" s="2">
        <v>-1</v>
      </c>
      <c r="N264"/>
    </row>
    <row r="265" spans="1:14">
      <c r="A265" s="1" t="s">
        <v>52</v>
      </c>
      <c r="B265" s="1">
        <v>6</v>
      </c>
      <c r="C265" s="1">
        <v>6</v>
      </c>
      <c r="D265" s="2">
        <v>1</v>
      </c>
      <c r="E265" s="2">
        <v>0.5</v>
      </c>
      <c r="F265" s="2">
        <v>272</v>
      </c>
      <c r="G265" s="2">
        <v>322</v>
      </c>
      <c r="H265" s="2">
        <v>-50</v>
      </c>
      <c r="I265" s="2">
        <v>-3.8</v>
      </c>
      <c r="J265" s="2">
        <v>-0.3</v>
      </c>
      <c r="K265" s="2">
        <v>-4.0999999999999996</v>
      </c>
      <c r="L265" s="2">
        <v>-2.2999999999999998</v>
      </c>
      <c r="M265" s="2">
        <v>-1.9</v>
      </c>
      <c r="N265"/>
    </row>
    <row r="266" spans="1:14">
      <c r="A266" s="1" t="s">
        <v>34</v>
      </c>
      <c r="B266" s="1"/>
      <c r="C266" s="1"/>
      <c r="N266"/>
    </row>
    <row r="267" spans="1:14">
      <c r="A267" s="1" t="s">
        <v>449</v>
      </c>
      <c r="B267" s="1">
        <v>9</v>
      </c>
      <c r="C267" s="1">
        <v>4</v>
      </c>
      <c r="D267" s="2">
        <v>0</v>
      </c>
      <c r="E267" s="2">
        <v>0.69199999999999995</v>
      </c>
      <c r="F267" s="2">
        <v>324</v>
      </c>
      <c r="G267" s="2">
        <v>290</v>
      </c>
      <c r="H267" s="2">
        <v>34</v>
      </c>
      <c r="I267" s="2">
        <v>2.6</v>
      </c>
      <c r="J267" s="2">
        <v>0.7</v>
      </c>
      <c r="K267" s="2">
        <v>3.3</v>
      </c>
      <c r="L267" s="2">
        <v>2.5</v>
      </c>
      <c r="M267" s="2">
        <v>0.8</v>
      </c>
      <c r="N267"/>
    </row>
    <row r="268" spans="1:14">
      <c r="A268" s="1" t="s">
        <v>475</v>
      </c>
      <c r="B268" s="1">
        <v>7</v>
      </c>
      <c r="C268" s="1">
        <v>6</v>
      </c>
      <c r="D268" s="2">
        <v>0</v>
      </c>
      <c r="E268" s="2">
        <v>0.53800000000000003</v>
      </c>
      <c r="F268" s="2">
        <v>371</v>
      </c>
      <c r="G268" s="2">
        <v>283</v>
      </c>
      <c r="H268" s="2">
        <v>88</v>
      </c>
      <c r="I268" s="2">
        <v>6.8</v>
      </c>
      <c r="J268" s="2">
        <v>-1.3</v>
      </c>
      <c r="K268" s="2">
        <v>5.5</v>
      </c>
      <c r="L268" s="2">
        <v>5</v>
      </c>
      <c r="M268" s="2">
        <v>0.5</v>
      </c>
      <c r="N268"/>
    </row>
    <row r="269" spans="1:14">
      <c r="A269" s="1" t="s">
        <v>44</v>
      </c>
      <c r="B269" s="1">
        <v>2</v>
      </c>
      <c r="C269" s="1">
        <v>11</v>
      </c>
      <c r="D269" s="2">
        <v>0</v>
      </c>
      <c r="E269" s="2">
        <v>0.154</v>
      </c>
      <c r="F269" s="2">
        <v>177</v>
      </c>
      <c r="G269" s="2">
        <v>356</v>
      </c>
      <c r="H269" s="2">
        <v>-179</v>
      </c>
      <c r="I269" s="2">
        <v>-13.8</v>
      </c>
      <c r="J269" s="2">
        <v>1.3</v>
      </c>
      <c r="K269" s="2">
        <v>-12.5</v>
      </c>
      <c r="L269" s="2">
        <v>-8.6</v>
      </c>
      <c r="M269" s="2">
        <v>-3.9</v>
      </c>
      <c r="N269"/>
    </row>
    <row r="270" spans="1:14">
      <c r="A270" s="1" t="s">
        <v>53</v>
      </c>
      <c r="B270" s="1">
        <v>2</v>
      </c>
      <c r="C270" s="1">
        <v>11</v>
      </c>
      <c r="D270" s="2">
        <v>0</v>
      </c>
      <c r="E270" s="2">
        <v>0.154</v>
      </c>
      <c r="F270" s="2">
        <v>180</v>
      </c>
      <c r="G270" s="2">
        <v>340</v>
      </c>
      <c r="H270" s="2">
        <v>-160</v>
      </c>
      <c r="I270" s="2">
        <v>-12.3</v>
      </c>
      <c r="J270" s="2">
        <v>1.3</v>
      </c>
      <c r="K270" s="2">
        <v>-11</v>
      </c>
      <c r="L270" s="2">
        <v>-8.5</v>
      </c>
      <c r="M270" s="2">
        <v>-2.5</v>
      </c>
      <c r="N270"/>
    </row>
    <row r="271" spans="1:14">
      <c r="A271" s="1" t="s">
        <v>35</v>
      </c>
      <c r="B271" s="1"/>
      <c r="C271" s="1"/>
      <c r="N271"/>
    </row>
    <row r="272" spans="1:14">
      <c r="A272" s="1" t="s">
        <v>456</v>
      </c>
      <c r="B272" s="1">
        <v>9</v>
      </c>
      <c r="C272" s="1">
        <v>4</v>
      </c>
      <c r="D272" s="2">
        <v>0</v>
      </c>
      <c r="E272" s="2">
        <v>0.69199999999999995</v>
      </c>
      <c r="F272" s="2">
        <v>351</v>
      </c>
      <c r="G272" s="2">
        <v>268</v>
      </c>
      <c r="H272" s="2">
        <v>83</v>
      </c>
      <c r="I272" s="2">
        <v>6.4</v>
      </c>
      <c r="J272" s="2">
        <v>0.8</v>
      </c>
      <c r="K272" s="2">
        <v>7.2</v>
      </c>
      <c r="L272" s="2">
        <v>4.2</v>
      </c>
      <c r="M272" s="2">
        <v>3.1</v>
      </c>
      <c r="N272"/>
    </row>
    <row r="273" spans="1:14">
      <c r="A273" s="1" t="s">
        <v>457</v>
      </c>
      <c r="B273" s="1">
        <v>8</v>
      </c>
      <c r="C273" s="1">
        <v>5</v>
      </c>
      <c r="D273" s="2">
        <v>0</v>
      </c>
      <c r="E273" s="2">
        <v>0.61499999999999999</v>
      </c>
      <c r="F273" s="2">
        <v>351</v>
      </c>
      <c r="G273" s="2">
        <v>336</v>
      </c>
      <c r="H273" s="2">
        <v>15</v>
      </c>
      <c r="I273" s="2">
        <v>1.2</v>
      </c>
      <c r="J273" s="2">
        <v>1</v>
      </c>
      <c r="K273" s="2">
        <v>2.2000000000000002</v>
      </c>
      <c r="L273" s="2">
        <v>4.5</v>
      </c>
      <c r="M273" s="2">
        <v>-2.2999999999999998</v>
      </c>
      <c r="N273"/>
    </row>
    <row r="274" spans="1:14">
      <c r="A274" s="1" t="s">
        <v>61</v>
      </c>
      <c r="B274" s="1">
        <v>7</v>
      </c>
      <c r="C274" s="1">
        <v>6</v>
      </c>
      <c r="D274" s="2">
        <v>0</v>
      </c>
      <c r="E274" s="2">
        <v>0.53800000000000003</v>
      </c>
      <c r="F274" s="2">
        <v>275</v>
      </c>
      <c r="G274" s="2">
        <v>228</v>
      </c>
      <c r="H274" s="2">
        <v>47</v>
      </c>
      <c r="I274" s="2">
        <v>3.6</v>
      </c>
      <c r="J274" s="2">
        <v>-2.4</v>
      </c>
      <c r="K274" s="2">
        <v>1.2</v>
      </c>
      <c r="L274" s="2">
        <v>-3.2</v>
      </c>
      <c r="M274" s="2">
        <v>4.4000000000000004</v>
      </c>
      <c r="N274"/>
    </row>
    <row r="275" spans="1:14">
      <c r="A275" s="1" t="s">
        <v>128</v>
      </c>
      <c r="B275" s="1">
        <v>6</v>
      </c>
      <c r="C275" s="1">
        <v>7</v>
      </c>
      <c r="D275" s="2">
        <v>0</v>
      </c>
      <c r="E275" s="2">
        <v>0.46200000000000002</v>
      </c>
      <c r="F275" s="2">
        <v>283</v>
      </c>
      <c r="G275" s="2">
        <v>360</v>
      </c>
      <c r="H275" s="2">
        <v>-77</v>
      </c>
      <c r="I275" s="2">
        <v>-5.9</v>
      </c>
      <c r="J275" s="2">
        <v>0.6</v>
      </c>
      <c r="K275" s="2">
        <v>-5.4</v>
      </c>
      <c r="L275" s="2">
        <v>-0.8</v>
      </c>
      <c r="M275" s="2">
        <v>-4.5</v>
      </c>
      <c r="N275"/>
    </row>
    <row r="276" spans="1:14">
      <c r="A276" s="1"/>
      <c r="B276" s="1"/>
      <c r="C276" s="1"/>
      <c r="N276"/>
    </row>
    <row r="277" spans="1:14">
      <c r="A277" s="1" t="s">
        <v>225</v>
      </c>
      <c r="B277" s="1"/>
      <c r="C277" s="1"/>
      <c r="N277"/>
    </row>
    <row r="278" spans="1:14">
      <c r="A278" s="1"/>
      <c r="B278" s="1"/>
      <c r="C278" s="1"/>
      <c r="N278"/>
    </row>
    <row r="279" spans="1:14">
      <c r="A279" s="1" t="s">
        <v>215</v>
      </c>
      <c r="B279" s="1"/>
      <c r="C279" s="1"/>
      <c r="N279"/>
    </row>
    <row r="280" spans="1:14">
      <c r="A280" s="1"/>
      <c r="B280" s="1"/>
      <c r="C280" s="1"/>
      <c r="N280"/>
    </row>
    <row r="281" spans="1:14">
      <c r="A281" s="1" t="s">
        <v>226</v>
      </c>
      <c r="B281" s="1"/>
      <c r="C281" s="1"/>
      <c r="N281"/>
    </row>
    <row r="282" spans="1:14">
      <c r="A282" s="1" t="s">
        <v>217</v>
      </c>
      <c r="B282" s="1" t="s">
        <v>0</v>
      </c>
      <c r="C282" s="1" t="s">
        <v>1</v>
      </c>
      <c r="D282" s="2" t="s">
        <v>455</v>
      </c>
      <c r="E282" s="2" t="s">
        <v>218</v>
      </c>
      <c r="F282" s="2" t="s">
        <v>2</v>
      </c>
      <c r="G282" s="2" t="s">
        <v>3</v>
      </c>
      <c r="H282" s="2" t="s">
        <v>219</v>
      </c>
      <c r="I282" s="2" t="s">
        <v>220</v>
      </c>
      <c r="J282" s="2" t="s">
        <v>221</v>
      </c>
      <c r="K282" s="2" t="s">
        <v>222</v>
      </c>
      <c r="L282" s="2" t="s">
        <v>223</v>
      </c>
      <c r="M282" s="2" t="s">
        <v>224</v>
      </c>
      <c r="N282"/>
    </row>
    <row r="283" spans="1:14">
      <c r="A283" s="1" t="s">
        <v>36</v>
      </c>
      <c r="B283" s="1"/>
      <c r="C283" s="1"/>
      <c r="N283"/>
    </row>
    <row r="284" spans="1:14">
      <c r="A284" s="1" t="s">
        <v>450</v>
      </c>
      <c r="B284" s="1">
        <v>9</v>
      </c>
      <c r="C284" s="1">
        <v>4</v>
      </c>
      <c r="D284" s="2">
        <v>0</v>
      </c>
      <c r="E284" s="2">
        <v>0.69199999999999995</v>
      </c>
      <c r="F284" s="2">
        <v>380</v>
      </c>
      <c r="G284" s="2">
        <v>287</v>
      </c>
      <c r="H284" s="2">
        <v>93</v>
      </c>
      <c r="I284" s="2">
        <v>7.2</v>
      </c>
      <c r="J284" s="2">
        <v>1</v>
      </c>
      <c r="K284" s="2">
        <v>8.1999999999999993</v>
      </c>
      <c r="L284" s="2">
        <v>6.5</v>
      </c>
      <c r="M284" s="2">
        <v>1.7</v>
      </c>
      <c r="N284"/>
    </row>
    <row r="285" spans="1:14">
      <c r="A285" s="1" t="s">
        <v>465</v>
      </c>
      <c r="B285" s="1">
        <v>6</v>
      </c>
      <c r="C285" s="1">
        <v>7</v>
      </c>
      <c r="D285" s="2">
        <v>0</v>
      </c>
      <c r="E285" s="2">
        <v>0.46200000000000002</v>
      </c>
      <c r="F285" s="2">
        <v>266</v>
      </c>
      <c r="G285" s="2">
        <v>324</v>
      </c>
      <c r="H285" s="2">
        <v>-58</v>
      </c>
      <c r="I285" s="2">
        <v>-4.5</v>
      </c>
      <c r="J285" s="2">
        <v>1.9</v>
      </c>
      <c r="K285" s="2">
        <v>-2.6</v>
      </c>
      <c r="L285" s="2">
        <v>-1.7</v>
      </c>
      <c r="M285" s="2">
        <v>-0.9</v>
      </c>
      <c r="N285"/>
    </row>
    <row r="286" spans="1:14">
      <c r="A286" s="1" t="s">
        <v>106</v>
      </c>
      <c r="B286" s="1">
        <v>6</v>
      </c>
      <c r="C286" s="1">
        <v>7</v>
      </c>
      <c r="D286" s="2">
        <v>0</v>
      </c>
      <c r="E286" s="2">
        <v>0.46200000000000002</v>
      </c>
      <c r="F286" s="2">
        <v>337</v>
      </c>
      <c r="G286" s="2">
        <v>291</v>
      </c>
      <c r="H286" s="2">
        <v>46</v>
      </c>
      <c r="I286" s="2">
        <v>3.5</v>
      </c>
      <c r="J286" s="2">
        <v>-0.6</v>
      </c>
      <c r="K286" s="2">
        <v>2.9</v>
      </c>
      <c r="L286" s="2">
        <v>2.2000000000000002</v>
      </c>
      <c r="M286" s="2">
        <v>0.7</v>
      </c>
      <c r="N286"/>
    </row>
    <row r="287" spans="1:14">
      <c r="A287" s="1" t="s">
        <v>63</v>
      </c>
      <c r="B287" s="1">
        <v>4</v>
      </c>
      <c r="C287" s="1">
        <v>9</v>
      </c>
      <c r="D287" s="2">
        <v>0</v>
      </c>
      <c r="E287" s="2">
        <v>0.308</v>
      </c>
      <c r="F287" s="2">
        <v>232</v>
      </c>
      <c r="G287" s="2">
        <v>310</v>
      </c>
      <c r="H287" s="2">
        <v>-78</v>
      </c>
      <c r="I287" s="2">
        <v>-6</v>
      </c>
      <c r="J287" s="2">
        <v>1.3</v>
      </c>
      <c r="K287" s="2">
        <v>-4.7</v>
      </c>
      <c r="L287" s="2">
        <v>-5.0999999999999996</v>
      </c>
      <c r="M287" s="2">
        <v>0.4</v>
      </c>
      <c r="N287"/>
    </row>
    <row r="288" spans="1:14">
      <c r="A288" s="1" t="s">
        <v>37</v>
      </c>
      <c r="B288" s="1"/>
      <c r="C288" s="1"/>
      <c r="N288"/>
    </row>
    <row r="289" spans="1:14">
      <c r="A289" s="1" t="s">
        <v>451</v>
      </c>
      <c r="B289" s="1">
        <v>10</v>
      </c>
      <c r="C289" s="1">
        <v>3</v>
      </c>
      <c r="D289" s="2">
        <v>0</v>
      </c>
      <c r="E289" s="2">
        <v>0.76900000000000002</v>
      </c>
      <c r="F289" s="2">
        <v>328</v>
      </c>
      <c r="G289" s="2">
        <v>272</v>
      </c>
      <c r="H289" s="2">
        <v>56</v>
      </c>
      <c r="I289" s="2">
        <v>4.3</v>
      </c>
      <c r="J289" s="2">
        <v>-0.2</v>
      </c>
      <c r="K289" s="2">
        <v>4.0999999999999996</v>
      </c>
      <c r="L289" s="2">
        <v>2</v>
      </c>
      <c r="M289" s="2">
        <v>2.1</v>
      </c>
      <c r="N289"/>
    </row>
    <row r="290" spans="1:14">
      <c r="A290" s="1" t="s">
        <v>59</v>
      </c>
      <c r="B290" s="1">
        <v>6</v>
      </c>
      <c r="C290" s="1">
        <v>7</v>
      </c>
      <c r="D290" s="2">
        <v>0</v>
      </c>
      <c r="E290" s="2">
        <v>0.46200000000000002</v>
      </c>
      <c r="F290" s="2">
        <v>344</v>
      </c>
      <c r="G290" s="2">
        <v>333</v>
      </c>
      <c r="H290" s="2">
        <v>11</v>
      </c>
      <c r="I290" s="2">
        <v>0.8</v>
      </c>
      <c r="J290" s="2">
        <v>-0.1</v>
      </c>
      <c r="K290" s="2">
        <v>0.7</v>
      </c>
      <c r="L290" s="2">
        <v>3.3</v>
      </c>
      <c r="M290" s="2">
        <v>-2.6</v>
      </c>
      <c r="N290"/>
    </row>
    <row r="291" spans="1:14">
      <c r="A291" s="1" t="s">
        <v>57</v>
      </c>
      <c r="B291" s="1">
        <v>4</v>
      </c>
      <c r="C291" s="1">
        <v>9</v>
      </c>
      <c r="D291" s="2">
        <v>0</v>
      </c>
      <c r="E291" s="2">
        <v>0.308</v>
      </c>
      <c r="F291" s="2">
        <v>231</v>
      </c>
      <c r="G291" s="2">
        <v>332</v>
      </c>
      <c r="H291" s="2">
        <v>-101</v>
      </c>
      <c r="I291" s="2">
        <v>-7.8</v>
      </c>
      <c r="J291" s="2">
        <v>0.3</v>
      </c>
      <c r="K291" s="2">
        <v>-7.5</v>
      </c>
      <c r="L291" s="2">
        <v>-5.8</v>
      </c>
      <c r="M291" s="2">
        <v>-1.7</v>
      </c>
      <c r="N291"/>
    </row>
    <row r="292" spans="1:14">
      <c r="A292" s="1" t="s">
        <v>66</v>
      </c>
      <c r="B292" s="1">
        <v>1</v>
      </c>
      <c r="C292" s="1">
        <v>11</v>
      </c>
      <c r="D292" s="2">
        <v>1</v>
      </c>
      <c r="E292" s="2">
        <v>0.115</v>
      </c>
      <c r="F292" s="2">
        <v>213</v>
      </c>
      <c r="G292" s="2">
        <v>354</v>
      </c>
      <c r="H292" s="2">
        <v>-141</v>
      </c>
      <c r="I292" s="2">
        <v>-10.8</v>
      </c>
      <c r="J292" s="2">
        <v>0</v>
      </c>
      <c r="K292" s="2">
        <v>-10.9</v>
      </c>
      <c r="L292" s="2">
        <v>-6.9</v>
      </c>
      <c r="M292" s="2">
        <v>-4</v>
      </c>
      <c r="N292"/>
    </row>
    <row r="293" spans="1:14">
      <c r="A293" s="1" t="s">
        <v>38</v>
      </c>
      <c r="B293" s="1"/>
      <c r="C293" s="1"/>
      <c r="N293"/>
    </row>
    <row r="294" spans="1:14">
      <c r="A294" s="1" t="s">
        <v>452</v>
      </c>
      <c r="B294" s="1">
        <v>10</v>
      </c>
      <c r="C294" s="1">
        <v>3</v>
      </c>
      <c r="D294" s="2">
        <v>0</v>
      </c>
      <c r="E294" s="2">
        <v>0.76900000000000002</v>
      </c>
      <c r="F294" s="2">
        <v>410</v>
      </c>
      <c r="G294" s="2">
        <v>297</v>
      </c>
      <c r="H294" s="2">
        <v>113</v>
      </c>
      <c r="I294" s="2">
        <v>8.6999999999999993</v>
      </c>
      <c r="J294" s="2">
        <v>0.8</v>
      </c>
      <c r="K294" s="2">
        <v>9.5</v>
      </c>
      <c r="L294" s="2">
        <v>9</v>
      </c>
      <c r="M294" s="2">
        <v>0.5</v>
      </c>
      <c r="N294"/>
    </row>
    <row r="295" spans="1:14">
      <c r="A295" s="1" t="s">
        <v>60</v>
      </c>
      <c r="B295" s="1">
        <v>6</v>
      </c>
      <c r="C295" s="1">
        <v>7</v>
      </c>
      <c r="D295" s="2">
        <v>0</v>
      </c>
      <c r="E295" s="2">
        <v>0.46200000000000002</v>
      </c>
      <c r="F295" s="2">
        <v>245</v>
      </c>
      <c r="G295" s="2">
        <v>353</v>
      </c>
      <c r="H295" s="2">
        <v>-108</v>
      </c>
      <c r="I295" s="2">
        <v>-8.3000000000000007</v>
      </c>
      <c r="J295" s="2">
        <v>0.3</v>
      </c>
      <c r="K295" s="2">
        <v>-8</v>
      </c>
      <c r="L295" s="2">
        <v>-3.9</v>
      </c>
      <c r="M295" s="2">
        <v>-4.0999999999999996</v>
      </c>
      <c r="N295"/>
    </row>
    <row r="296" spans="1:14">
      <c r="A296" s="1" t="s">
        <v>54</v>
      </c>
      <c r="B296" s="1">
        <v>6</v>
      </c>
      <c r="C296" s="1">
        <v>7</v>
      </c>
      <c r="D296" s="2">
        <v>0</v>
      </c>
      <c r="E296" s="2">
        <v>0.46200000000000002</v>
      </c>
      <c r="F296" s="2">
        <v>304</v>
      </c>
      <c r="G296" s="2">
        <v>285</v>
      </c>
      <c r="H296" s="2">
        <v>19</v>
      </c>
      <c r="I296" s="2">
        <v>1.5</v>
      </c>
      <c r="J296" s="2">
        <v>1.5</v>
      </c>
      <c r="K296" s="2">
        <v>2.9</v>
      </c>
      <c r="L296" s="2">
        <v>1.1000000000000001</v>
      </c>
      <c r="M296" s="2">
        <v>1.8</v>
      </c>
      <c r="N296"/>
    </row>
    <row r="297" spans="1:14">
      <c r="A297" s="1" t="s">
        <v>55</v>
      </c>
      <c r="B297" s="1">
        <v>5</v>
      </c>
      <c r="C297" s="1">
        <v>8</v>
      </c>
      <c r="D297" s="2">
        <v>0</v>
      </c>
      <c r="E297" s="2">
        <v>0.38500000000000001</v>
      </c>
      <c r="F297" s="2">
        <v>257</v>
      </c>
      <c r="G297" s="2">
        <v>282</v>
      </c>
      <c r="H297" s="2">
        <v>-25</v>
      </c>
      <c r="I297" s="2">
        <v>-1.9</v>
      </c>
      <c r="J297" s="2">
        <v>-1.4</v>
      </c>
      <c r="K297" s="2">
        <v>-3.4</v>
      </c>
      <c r="L297" s="2">
        <v>-3.9</v>
      </c>
      <c r="M297" s="2">
        <v>0.6</v>
      </c>
      <c r="N297"/>
    </row>
    <row r="298" spans="1:14">
      <c r="A298" s="1" t="s">
        <v>39</v>
      </c>
      <c r="B298" s="1"/>
      <c r="C298" s="1"/>
      <c r="N298"/>
    </row>
    <row r="299" spans="1:14">
      <c r="A299" s="1" t="s">
        <v>453</v>
      </c>
      <c r="B299" s="1">
        <v>10</v>
      </c>
      <c r="C299" s="1">
        <v>3</v>
      </c>
      <c r="D299" s="2">
        <v>0</v>
      </c>
      <c r="E299" s="2">
        <v>0.76900000000000002</v>
      </c>
      <c r="F299" s="2">
        <v>366</v>
      </c>
      <c r="G299" s="2">
        <v>254</v>
      </c>
      <c r="H299" s="2">
        <v>112</v>
      </c>
      <c r="I299" s="2">
        <v>8.6</v>
      </c>
      <c r="J299" s="2">
        <v>-0.7</v>
      </c>
      <c r="K299" s="2">
        <v>7.9</v>
      </c>
      <c r="L299" s="2">
        <v>4.9000000000000004</v>
      </c>
      <c r="M299" s="2">
        <v>3</v>
      </c>
      <c r="N299"/>
    </row>
    <row r="300" spans="1:14">
      <c r="A300" s="1" t="s">
        <v>454</v>
      </c>
      <c r="B300" s="1">
        <v>9</v>
      </c>
      <c r="C300" s="1">
        <v>4</v>
      </c>
      <c r="D300" s="2">
        <v>0</v>
      </c>
      <c r="E300" s="2">
        <v>0.69199999999999995</v>
      </c>
      <c r="F300" s="2">
        <v>366</v>
      </c>
      <c r="G300" s="2">
        <v>293</v>
      </c>
      <c r="H300" s="2">
        <v>73</v>
      </c>
      <c r="I300" s="2">
        <v>5.6</v>
      </c>
      <c r="J300" s="2">
        <v>-0.3</v>
      </c>
      <c r="K300" s="2">
        <v>5.3</v>
      </c>
      <c r="L300" s="2">
        <v>5.3</v>
      </c>
      <c r="M300" s="2">
        <v>0.1</v>
      </c>
      <c r="N300"/>
    </row>
    <row r="301" spans="1:14">
      <c r="A301" s="1" t="s">
        <v>462</v>
      </c>
      <c r="B301" s="1">
        <v>7</v>
      </c>
      <c r="C301" s="1">
        <v>6</v>
      </c>
      <c r="D301" s="2">
        <v>0</v>
      </c>
      <c r="E301" s="2">
        <v>0.53800000000000003</v>
      </c>
      <c r="F301" s="2">
        <v>329</v>
      </c>
      <c r="G301" s="2">
        <v>301</v>
      </c>
      <c r="H301" s="2">
        <v>28</v>
      </c>
      <c r="I301" s="2">
        <v>2.2000000000000002</v>
      </c>
      <c r="J301" s="2">
        <v>0.7</v>
      </c>
      <c r="K301" s="2">
        <v>2.9</v>
      </c>
      <c r="L301" s="2">
        <v>2.6</v>
      </c>
      <c r="M301" s="2">
        <v>0.2</v>
      </c>
      <c r="N301"/>
    </row>
    <row r="302" spans="1:14">
      <c r="A302" s="1" t="s">
        <v>40</v>
      </c>
      <c r="B302" s="1">
        <v>5</v>
      </c>
      <c r="C302" s="1">
        <v>8</v>
      </c>
      <c r="D302" s="2">
        <v>0</v>
      </c>
      <c r="E302" s="2">
        <v>0.38500000000000001</v>
      </c>
      <c r="F302" s="2">
        <v>272</v>
      </c>
      <c r="G302" s="2">
        <v>262</v>
      </c>
      <c r="H302" s="2">
        <v>10</v>
      </c>
      <c r="I302" s="2">
        <v>0.8</v>
      </c>
      <c r="J302" s="2">
        <v>0.5</v>
      </c>
      <c r="K302" s="2">
        <v>1.2</v>
      </c>
      <c r="L302" s="2">
        <v>-2.4</v>
      </c>
      <c r="M302" s="2">
        <v>3.6</v>
      </c>
      <c r="N302"/>
    </row>
    <row r="303" spans="1:14">
      <c r="A303" s="1"/>
      <c r="B303" s="1"/>
      <c r="C303" s="1"/>
      <c r="N303"/>
    </row>
    <row r="304" spans="1:14">
      <c r="A304" s="1" t="s">
        <v>446</v>
      </c>
      <c r="B304" s="1"/>
      <c r="C304" s="1"/>
      <c r="N304"/>
    </row>
    <row r="305" spans="1:14">
      <c r="A305" s="1"/>
      <c r="B305" s="1"/>
      <c r="C305" s="1"/>
      <c r="N305"/>
    </row>
    <row r="306" spans="1:14">
      <c r="A306" s="1" t="s">
        <v>447</v>
      </c>
      <c r="B306" s="1"/>
      <c r="C306" s="1"/>
      <c r="N306"/>
    </row>
    <row r="307" spans="1:14">
      <c r="A307" s="1"/>
      <c r="B307" s="1"/>
      <c r="C307" s="1"/>
      <c r="N307"/>
    </row>
    <row r="308" spans="1:14">
      <c r="A308" s="1" t="s">
        <v>433</v>
      </c>
      <c r="B308" s="1"/>
      <c r="C308" s="1"/>
      <c r="N308"/>
    </row>
    <row r="309" spans="1:14">
      <c r="A309" s="1" t="s">
        <v>227</v>
      </c>
      <c r="B309" s="1"/>
      <c r="C309" s="1"/>
      <c r="N309"/>
    </row>
    <row r="310" spans="1:14">
      <c r="A310" s="1"/>
      <c r="B310" s="1"/>
      <c r="C310" s="1"/>
      <c r="N310"/>
    </row>
    <row r="311" spans="1:14">
      <c r="A311" s="1" t="s">
        <v>228</v>
      </c>
      <c r="B311" s="1"/>
      <c r="C311" s="1"/>
      <c r="N311"/>
    </row>
    <row r="312" spans="1:14">
      <c r="A312" s="1"/>
      <c r="B312" s="1"/>
      <c r="C312" s="1"/>
      <c r="N312"/>
    </row>
    <row r="313" spans="1:14">
      <c r="A313" s="1" t="s">
        <v>437</v>
      </c>
      <c r="B313" s="1"/>
      <c r="C313" s="1"/>
      <c r="N313"/>
    </row>
    <row r="314" spans="1:14">
      <c r="A314" s="1"/>
      <c r="B314" s="1"/>
      <c r="C314" s="1"/>
      <c r="N314"/>
    </row>
    <row r="315" spans="1:14">
      <c r="A315" s="1" t="s">
        <v>438</v>
      </c>
      <c r="B315" s="1"/>
      <c r="C315" s="1"/>
      <c r="N315"/>
    </row>
    <row r="316" spans="1:14">
      <c r="A316" s="1"/>
      <c r="B316" s="1"/>
      <c r="C316" s="1"/>
      <c r="N316"/>
    </row>
    <row r="317" spans="1:14">
      <c r="A317" s="1" t="s">
        <v>166</v>
      </c>
      <c r="B317" s="1"/>
      <c r="C317" s="1"/>
      <c r="N317"/>
    </row>
    <row r="318" spans="1:14">
      <c r="A318" s="1"/>
      <c r="B318" s="1"/>
      <c r="C318" s="1"/>
      <c r="N318"/>
    </row>
    <row r="319" spans="1:14">
      <c r="A319" s="1" t="s">
        <v>165</v>
      </c>
      <c r="B319" s="1"/>
      <c r="C319" s="1"/>
      <c r="N319"/>
    </row>
    <row r="320" spans="1:14">
      <c r="A320" s="1"/>
      <c r="B320" s="1"/>
      <c r="C320" s="1"/>
      <c r="N320"/>
    </row>
    <row r="321" spans="1:14">
      <c r="A321" s="1" t="s">
        <v>439</v>
      </c>
      <c r="B321" s="1"/>
      <c r="C321" s="1"/>
      <c r="N321"/>
    </row>
    <row r="322" spans="1:14">
      <c r="A322" s="1"/>
      <c r="B322" s="1"/>
      <c r="C322" s="1"/>
      <c r="N322"/>
    </row>
    <row r="323" spans="1:14">
      <c r="A323" s="1" t="s">
        <v>440</v>
      </c>
      <c r="B323" s="1"/>
      <c r="C323" s="1"/>
      <c r="N323"/>
    </row>
    <row r="324" spans="1:14">
      <c r="A324" s="1"/>
      <c r="B324" s="1"/>
      <c r="C324" s="1"/>
      <c r="N324"/>
    </row>
    <row r="325" spans="1:14">
      <c r="A325" s="1" t="s">
        <v>442</v>
      </c>
      <c r="B325" s="1"/>
      <c r="C325" s="1"/>
      <c r="N325"/>
    </row>
    <row r="326" spans="1:14">
      <c r="A326" s="1"/>
      <c r="B326" s="1"/>
      <c r="C326" s="1"/>
      <c r="N326"/>
    </row>
    <row r="327" spans="1:14">
      <c r="A327" s="1" t="s">
        <v>432</v>
      </c>
      <c r="B327" s="1"/>
      <c r="C327" s="1"/>
      <c r="N327"/>
    </row>
    <row r="328" spans="1:14">
      <c r="A328" s="1"/>
      <c r="B328" s="1"/>
      <c r="C328" s="1"/>
      <c r="N328"/>
    </row>
    <row r="329" spans="1:14">
      <c r="A329" s="1" t="s">
        <v>430</v>
      </c>
      <c r="B329" s="1"/>
      <c r="C329" s="1"/>
      <c r="N329"/>
    </row>
    <row r="330" spans="1:14">
      <c r="A330" s="1"/>
      <c r="B330" s="1"/>
      <c r="C330" s="1"/>
      <c r="N330"/>
    </row>
    <row r="331" spans="1:14">
      <c r="A331" s="1" t="s">
        <v>212</v>
      </c>
      <c r="B331" s="1"/>
      <c r="C331" s="1"/>
      <c r="N331"/>
    </row>
    <row r="332" spans="1:14">
      <c r="A332" s="1" t="s">
        <v>160</v>
      </c>
      <c r="B332" s="1"/>
      <c r="C332" s="1"/>
      <c r="N332"/>
    </row>
    <row r="333" spans="1:14">
      <c r="A333" s="1" t="s">
        <v>161</v>
      </c>
      <c r="B333" s="1"/>
      <c r="C333" s="1"/>
      <c r="N333"/>
    </row>
    <row r="334" spans="1:14">
      <c r="A334" s="1" t="s">
        <v>162</v>
      </c>
      <c r="B334" s="1"/>
      <c r="C334" s="1"/>
      <c r="N334"/>
    </row>
    <row r="335" spans="1:14">
      <c r="A335" s="1" t="s">
        <v>163</v>
      </c>
      <c r="B335" s="1"/>
      <c r="C335" s="1"/>
      <c r="N335"/>
    </row>
    <row r="336" spans="1:14">
      <c r="A336" s="1" t="s">
        <v>164</v>
      </c>
      <c r="B336" s="1"/>
      <c r="C336" s="1"/>
      <c r="N336"/>
    </row>
    <row r="337" spans="1:14">
      <c r="A337" s="1" t="s">
        <v>165</v>
      </c>
      <c r="B337" s="1"/>
      <c r="C337" s="1"/>
      <c r="N337"/>
    </row>
    <row r="338" spans="1:14">
      <c r="A338" s="1" t="s">
        <v>166</v>
      </c>
      <c r="B338" s="1"/>
      <c r="C338" s="1"/>
      <c r="N338"/>
    </row>
    <row r="339" spans="1:14">
      <c r="A339" s="1" t="s">
        <v>167</v>
      </c>
      <c r="B339" s="1"/>
      <c r="C339" s="1"/>
      <c r="N339"/>
    </row>
    <row r="340" spans="1:14">
      <c r="A340" s="1" t="s">
        <v>213</v>
      </c>
      <c r="B340" s="1"/>
      <c r="C340" s="1"/>
      <c r="N340"/>
    </row>
    <row r="341" spans="1:14">
      <c r="A341" s="1" t="s">
        <v>171</v>
      </c>
      <c r="B341" s="1"/>
      <c r="C341" s="1"/>
      <c r="N341"/>
    </row>
    <row r="342" spans="1:14">
      <c r="A342" s="1" t="s">
        <v>172</v>
      </c>
      <c r="B342" s="1"/>
      <c r="C342" s="1"/>
      <c r="N342"/>
    </row>
    <row r="343" spans="1:14">
      <c r="A343" s="1" t="s">
        <v>173</v>
      </c>
      <c r="B343" s="1"/>
      <c r="C343" s="1"/>
      <c r="N343"/>
    </row>
    <row r="344" spans="1:14">
      <c r="A344" s="1" t="s">
        <v>174</v>
      </c>
      <c r="B344" s="1"/>
      <c r="C344" s="1"/>
      <c r="N344"/>
    </row>
    <row r="345" spans="1:14">
      <c r="A345" s="1" t="s">
        <v>177</v>
      </c>
      <c r="B345" s="1"/>
      <c r="C345" s="1"/>
      <c r="N345"/>
    </row>
    <row r="346" spans="1:14">
      <c r="A346" s="1" t="s">
        <v>178</v>
      </c>
      <c r="B346" s="1"/>
      <c r="C346" s="1"/>
      <c r="N346"/>
    </row>
    <row r="347" spans="1:14">
      <c r="A347" s="1" t="s">
        <v>179</v>
      </c>
      <c r="B347" s="1"/>
      <c r="C347" s="1"/>
      <c r="N347"/>
    </row>
    <row r="348" spans="1:14">
      <c r="A348" s="1" t="s">
        <v>180</v>
      </c>
      <c r="B348" s="1"/>
      <c r="C348" s="1"/>
      <c r="N348"/>
    </row>
    <row r="349" spans="1:14">
      <c r="A349" s="1" t="s">
        <v>181</v>
      </c>
      <c r="B349" s="1"/>
      <c r="C349" s="1"/>
      <c r="N349"/>
    </row>
    <row r="350" spans="1:14">
      <c r="A350" s="1" t="s">
        <v>182</v>
      </c>
      <c r="B350" s="1"/>
      <c r="C350" s="1"/>
      <c r="N350"/>
    </row>
    <row r="351" spans="1:14">
      <c r="A351" s="1" t="s">
        <v>183</v>
      </c>
      <c r="B351" s="1"/>
      <c r="C351" s="1"/>
      <c r="N351"/>
    </row>
    <row r="352" spans="1:14">
      <c r="A352" s="1" t="s">
        <v>184</v>
      </c>
      <c r="B352" s="1"/>
      <c r="C352" s="1"/>
      <c r="N352"/>
    </row>
    <row r="353" spans="1:14">
      <c r="A353" s="1" t="s">
        <v>185</v>
      </c>
      <c r="B353" s="1"/>
      <c r="C353" s="1"/>
      <c r="N353"/>
    </row>
    <row r="354" spans="1:14">
      <c r="A354" s="1" t="s">
        <v>186</v>
      </c>
      <c r="B354" s="1"/>
      <c r="C354" s="1"/>
      <c r="N354"/>
    </row>
    <row r="355" spans="1:14">
      <c r="A355" s="1" t="s">
        <v>187</v>
      </c>
      <c r="B355" s="1"/>
      <c r="C355" s="1"/>
      <c r="N355"/>
    </row>
    <row r="356" spans="1:14">
      <c r="A356" s="1" t="s">
        <v>279</v>
      </c>
      <c r="B356" s="1"/>
      <c r="C356" s="1"/>
      <c r="N356"/>
    </row>
    <row r="357" spans="1:14">
      <c r="A357" s="1" t="s">
        <v>280</v>
      </c>
      <c r="B357" s="1"/>
      <c r="C357" s="1"/>
      <c r="N357"/>
    </row>
    <row r="358" spans="1:14">
      <c r="A358" s="1" t="s">
        <v>281</v>
      </c>
      <c r="B358" s="1"/>
      <c r="C358" s="1"/>
      <c r="N358"/>
    </row>
    <row r="359" spans="1:14">
      <c r="A359" s="1" t="s">
        <v>282</v>
      </c>
      <c r="B359" s="1"/>
      <c r="C359" s="1"/>
      <c r="N359"/>
    </row>
    <row r="360" spans="1:14">
      <c r="A360" s="1" t="s">
        <v>283</v>
      </c>
      <c r="B360" s="1"/>
      <c r="C360" s="1"/>
      <c r="N360"/>
    </row>
    <row r="361" spans="1:14">
      <c r="A361" s="1" t="s">
        <v>284</v>
      </c>
      <c r="B361" s="1"/>
      <c r="C361" s="1"/>
      <c r="N361"/>
    </row>
    <row r="362" spans="1:14">
      <c r="A362" s="1" t="s">
        <v>285</v>
      </c>
      <c r="B362" s="1"/>
      <c r="C362" s="1"/>
      <c r="N362"/>
    </row>
    <row r="363" spans="1:14">
      <c r="A363" s="1" t="s">
        <v>286</v>
      </c>
      <c r="B363" s="1"/>
      <c r="C363" s="1"/>
      <c r="N363"/>
    </row>
    <row r="364" spans="1:14">
      <c r="A364" s="1" t="s">
        <v>287</v>
      </c>
      <c r="B364" s="1"/>
      <c r="C364" s="1"/>
      <c r="N364"/>
    </row>
    <row r="365" spans="1:14">
      <c r="A365" s="1" t="s">
        <v>288</v>
      </c>
      <c r="B365" s="1"/>
      <c r="C365" s="1"/>
      <c r="N365"/>
    </row>
    <row r="366" spans="1:14">
      <c r="A366" s="1" t="s">
        <v>289</v>
      </c>
      <c r="B366" s="1"/>
      <c r="C366" s="1"/>
      <c r="N366"/>
    </row>
    <row r="367" spans="1:14">
      <c r="A367" s="1" t="s">
        <v>421</v>
      </c>
      <c r="B367" s="1"/>
      <c r="C367" s="1"/>
      <c r="N367"/>
    </row>
    <row r="368" spans="1:14">
      <c r="A368" s="1" t="s">
        <v>431</v>
      </c>
      <c r="B368" s="1"/>
      <c r="C368" s="1"/>
      <c r="N368"/>
    </row>
    <row r="369" spans="1:14">
      <c r="A369" s="1" t="s">
        <v>189</v>
      </c>
      <c r="B369" s="1"/>
      <c r="C369" s="1"/>
      <c r="N369"/>
    </row>
    <row r="370" spans="1:14">
      <c r="A370" s="1" t="s">
        <v>190</v>
      </c>
      <c r="B370" s="1"/>
      <c r="C370" s="1"/>
      <c r="N370"/>
    </row>
    <row r="371" spans="1:14">
      <c r="A371" s="1" t="s">
        <v>127</v>
      </c>
      <c r="B371" s="1"/>
      <c r="C371" s="1"/>
      <c r="N371"/>
    </row>
    <row r="372" spans="1:14">
      <c r="A372" s="1" t="s">
        <v>435</v>
      </c>
      <c r="B372" s="1"/>
      <c r="C372" s="1"/>
      <c r="N372"/>
    </row>
    <row r="373" spans="1:14">
      <c r="A373" s="1" t="s">
        <v>176</v>
      </c>
      <c r="B373" s="1"/>
      <c r="C373" s="1"/>
      <c r="N373"/>
    </row>
    <row r="374" spans="1:14">
      <c r="A374" s="1" t="s">
        <v>149</v>
      </c>
      <c r="B374" s="1"/>
      <c r="C374" s="1"/>
      <c r="N374"/>
    </row>
    <row r="375" spans="1:14">
      <c r="A375" s="1" t="s">
        <v>118</v>
      </c>
      <c r="B375" s="1"/>
      <c r="C375" s="1"/>
      <c r="N375"/>
    </row>
    <row r="376" spans="1:14">
      <c r="A376" s="1" t="s">
        <v>188</v>
      </c>
      <c r="B376" s="1"/>
      <c r="C376" s="1"/>
      <c r="N376"/>
    </row>
    <row r="377" spans="1:14">
      <c r="A377" s="1" t="s">
        <v>121</v>
      </c>
      <c r="B377" s="1"/>
      <c r="C377" s="1"/>
      <c r="N377"/>
    </row>
    <row r="378" spans="1:14">
      <c r="A378" s="1" t="s">
        <v>192</v>
      </c>
      <c r="B378" s="1"/>
      <c r="C378" s="1"/>
      <c r="N378"/>
    </row>
    <row r="379" spans="1:14">
      <c r="A379" s="1" t="s">
        <v>193</v>
      </c>
      <c r="B379" s="1"/>
      <c r="C379" s="1"/>
      <c r="N379"/>
    </row>
    <row r="380" spans="1:14">
      <c r="A380" s="1" t="s">
        <v>194</v>
      </c>
      <c r="B380" s="1"/>
      <c r="C380" s="1"/>
      <c r="N380"/>
    </row>
    <row r="381" spans="1:14">
      <c r="A381" s="1" t="s">
        <v>195</v>
      </c>
      <c r="B381" s="1"/>
      <c r="C381" s="1"/>
      <c r="N381"/>
    </row>
    <row r="382" spans="1:14">
      <c r="A382" s="1" t="s">
        <v>196</v>
      </c>
      <c r="B382" s="1"/>
      <c r="C382" s="1"/>
      <c r="N382"/>
    </row>
    <row r="383" spans="1:14">
      <c r="A383" s="1" t="s">
        <v>197</v>
      </c>
      <c r="B383" s="1"/>
      <c r="C383" s="1"/>
      <c r="N383"/>
    </row>
    <row r="384" spans="1:14">
      <c r="A384" s="1" t="s">
        <v>198</v>
      </c>
      <c r="B384" s="1"/>
      <c r="C384" s="1"/>
      <c r="N384"/>
    </row>
    <row r="385" spans="1:14">
      <c r="A385" s="1" t="s">
        <v>199</v>
      </c>
      <c r="B385" s="1"/>
      <c r="C385" s="1"/>
      <c r="N385"/>
    </row>
    <row r="386" spans="1:14">
      <c r="A386" s="1" t="s">
        <v>200</v>
      </c>
      <c r="B386" s="1"/>
      <c r="C386" s="1"/>
      <c r="N386"/>
    </row>
    <row r="387" spans="1:14">
      <c r="A387" s="1" t="s">
        <v>201</v>
      </c>
      <c r="B387" s="1"/>
      <c r="C387" s="1"/>
      <c r="N387"/>
    </row>
    <row r="388" spans="1:14">
      <c r="A388" s="1" t="s">
        <v>202</v>
      </c>
      <c r="B388" s="1"/>
      <c r="C388" s="1"/>
      <c r="N388"/>
    </row>
    <row r="389" spans="1:14">
      <c r="A389" s="1" t="s">
        <v>203</v>
      </c>
      <c r="B389" s="1"/>
      <c r="C389" s="1"/>
      <c r="N389"/>
    </row>
    <row r="390" spans="1:14">
      <c r="A390" s="1" t="s">
        <v>204</v>
      </c>
      <c r="B390" s="1"/>
      <c r="C390" s="1"/>
      <c r="N390"/>
    </row>
    <row r="391" spans="1:14">
      <c r="A391" s="1" t="s">
        <v>205</v>
      </c>
      <c r="B391" s="1"/>
      <c r="C391" s="1"/>
      <c r="N391"/>
    </row>
    <row r="392" spans="1:14">
      <c r="A392" s="1" t="s">
        <v>206</v>
      </c>
      <c r="B392" s="1"/>
      <c r="C392" s="1"/>
      <c r="N392"/>
    </row>
    <row r="393" spans="1:14">
      <c r="A393" s="1" t="s">
        <v>207</v>
      </c>
      <c r="B393" s="1"/>
      <c r="C393" s="1"/>
      <c r="N393"/>
    </row>
    <row r="394" spans="1:14">
      <c r="A394" s="1" t="s">
        <v>208</v>
      </c>
      <c r="B394" s="1"/>
      <c r="C394" s="1"/>
      <c r="N394"/>
    </row>
    <row r="395" spans="1:14">
      <c r="A395" s="1" t="s">
        <v>209</v>
      </c>
      <c r="B395" s="1"/>
      <c r="C395" s="1"/>
      <c r="N395"/>
    </row>
    <row r="396" spans="1:14">
      <c r="A396" s="1" t="s">
        <v>210</v>
      </c>
      <c r="B396" s="1"/>
      <c r="C396" s="1"/>
      <c r="N396"/>
    </row>
    <row r="397" spans="1:14">
      <c r="A397" s="1" t="s">
        <v>211</v>
      </c>
      <c r="B397" s="1"/>
      <c r="C397" s="1"/>
      <c r="N397"/>
    </row>
    <row r="398" spans="1:14">
      <c r="A398" s="1" t="s">
        <v>436</v>
      </c>
      <c r="B398" s="1"/>
      <c r="C398" s="1"/>
      <c r="N398"/>
    </row>
    <row r="399" spans="1:14">
      <c r="A399" s="1" t="s">
        <v>444</v>
      </c>
      <c r="B399" s="1"/>
      <c r="C399" s="1"/>
      <c r="N399"/>
    </row>
    <row r="400" spans="1:14">
      <c r="A400" s="1" t="s">
        <v>445</v>
      </c>
      <c r="B400" s="1"/>
      <c r="C400" s="1"/>
      <c r="N400"/>
    </row>
    <row r="401" spans="1:14">
      <c r="A401" s="1" t="s">
        <v>466</v>
      </c>
      <c r="B401" s="1"/>
      <c r="C401" s="1"/>
      <c r="N401"/>
    </row>
    <row r="402" spans="1:14">
      <c r="A402" s="1" t="s">
        <v>142</v>
      </c>
      <c r="B402" s="1"/>
      <c r="C402" s="1"/>
      <c r="N402"/>
    </row>
    <row r="403" spans="1:14">
      <c r="A403" s="1" t="s">
        <v>143</v>
      </c>
      <c r="B403" s="1"/>
      <c r="C403" s="1"/>
      <c r="N403"/>
    </row>
    <row r="404" spans="1:14">
      <c r="A404" s="1" t="s">
        <v>132</v>
      </c>
      <c r="B404" s="1"/>
      <c r="C404" s="1"/>
      <c r="N404"/>
    </row>
    <row r="405" spans="1:14">
      <c r="A405" s="1" t="s">
        <v>144</v>
      </c>
      <c r="B405" s="1"/>
      <c r="C405" s="1"/>
      <c r="N405"/>
    </row>
    <row r="406" spans="1:14">
      <c r="A406" s="1" t="s">
        <v>434</v>
      </c>
      <c r="B406" s="1"/>
      <c r="C406" s="1"/>
      <c r="N406"/>
    </row>
    <row r="407" spans="1:14">
      <c r="A407" s="1"/>
      <c r="B407" s="1"/>
      <c r="C407" s="1"/>
      <c r="N407"/>
    </row>
    <row r="408" spans="1:14">
      <c r="A408" s="1" t="s">
        <v>229</v>
      </c>
      <c r="B408" s="1"/>
      <c r="C408" s="1"/>
      <c r="N408"/>
    </row>
    <row r="409" spans="1:14">
      <c r="A409" s="1" t="s">
        <v>230</v>
      </c>
      <c r="B409" s="1"/>
      <c r="C409" s="1"/>
      <c r="N409"/>
    </row>
    <row r="410" spans="1:14">
      <c r="A410" s="1" t="s">
        <v>147</v>
      </c>
      <c r="B410" s="1"/>
      <c r="C410" s="1"/>
      <c r="N410"/>
    </row>
    <row r="411" spans="1:14">
      <c r="A411" s="1" t="s">
        <v>476</v>
      </c>
      <c r="B411" s="1"/>
      <c r="C411" s="1"/>
      <c r="N411"/>
    </row>
    <row r="412" spans="1:14">
      <c r="A412" s="1" t="s">
        <v>231</v>
      </c>
      <c r="B412" s="1"/>
      <c r="C412" s="1"/>
      <c r="N412"/>
    </row>
    <row r="413" spans="1:14">
      <c r="A413" s="1" t="s">
        <v>232</v>
      </c>
      <c r="B413" s="1"/>
      <c r="C413" s="1"/>
      <c r="N413"/>
    </row>
    <row r="414" spans="1:14">
      <c r="A414" s="1" t="s">
        <v>131</v>
      </c>
      <c r="B414" s="1"/>
      <c r="C414" s="1"/>
      <c r="N414"/>
    </row>
    <row r="415" spans="1:14">
      <c r="A415" s="1" t="s">
        <v>464</v>
      </c>
      <c r="B415" s="1"/>
      <c r="C415" s="1"/>
      <c r="N415"/>
    </row>
    <row r="416" spans="1:14">
      <c r="A416" s="1" t="s">
        <v>471</v>
      </c>
      <c r="B416" s="1"/>
      <c r="C416" s="1"/>
      <c r="N416"/>
    </row>
    <row r="417" spans="1:14">
      <c r="A417" s="1" t="s">
        <v>461</v>
      </c>
      <c r="B417" s="1"/>
      <c r="C417" s="1"/>
      <c r="N417"/>
    </row>
    <row r="418" spans="1:14">
      <c r="A418" s="1" t="s">
        <v>477</v>
      </c>
      <c r="B418" s="1"/>
      <c r="C418" s="1"/>
      <c r="N418"/>
    </row>
    <row r="419" spans="1:14">
      <c r="A419" s="1" t="s">
        <v>478</v>
      </c>
      <c r="B419" s="1"/>
      <c r="C419" s="1"/>
      <c r="N419"/>
    </row>
    <row r="420" spans="1:14">
      <c r="A420" s="1" t="s">
        <v>443</v>
      </c>
      <c r="B420" s="1"/>
      <c r="C420" s="1"/>
      <c r="N420"/>
    </row>
    <row r="421" spans="1:14">
      <c r="A421" s="1" t="s">
        <v>479</v>
      </c>
      <c r="B421" s="1"/>
      <c r="C421" s="1"/>
      <c r="N421"/>
    </row>
    <row r="422" spans="1:14">
      <c r="A422" s="1" t="s">
        <v>458</v>
      </c>
      <c r="B422" s="1"/>
      <c r="C422" s="1"/>
      <c r="N422"/>
    </row>
    <row r="423" spans="1:14">
      <c r="A423" s="1" t="s">
        <v>148</v>
      </c>
      <c r="B423" s="1"/>
      <c r="C423" s="1"/>
      <c r="N423"/>
    </row>
    <row r="424" spans="1:14">
      <c r="A424" s="1" t="s">
        <v>441</v>
      </c>
      <c r="B424" s="1"/>
      <c r="C424" s="1"/>
      <c r="N424"/>
    </row>
    <row r="425" spans="1:14">
      <c r="A425" s="1" t="s">
        <v>423</v>
      </c>
      <c r="B425" s="1"/>
      <c r="C425" s="1"/>
      <c r="N425"/>
    </row>
    <row r="426" spans="1:14">
      <c r="A426" s="1" t="s">
        <v>233</v>
      </c>
      <c r="B426" s="1"/>
      <c r="C426" s="1"/>
      <c r="N426"/>
    </row>
    <row r="427" spans="1:14">
      <c r="A427" s="1" t="s">
        <v>234</v>
      </c>
      <c r="B427" s="1"/>
      <c r="C427" s="1"/>
      <c r="N427"/>
    </row>
    <row r="428" spans="1:14">
      <c r="A428" s="1" t="s">
        <v>150</v>
      </c>
      <c r="B428" s="1"/>
      <c r="C428" s="1"/>
      <c r="N428"/>
    </row>
    <row r="429" spans="1:14">
      <c r="A429" s="1" t="s">
        <v>235</v>
      </c>
      <c r="B429" s="1"/>
      <c r="C429" s="1"/>
      <c r="N429"/>
    </row>
    <row r="430" spans="1:14">
      <c r="A430" s="1" t="s">
        <v>236</v>
      </c>
      <c r="B430" s="1"/>
      <c r="C430" s="1"/>
      <c r="N430"/>
    </row>
    <row r="431" spans="1:14">
      <c r="A431" s="1" t="s">
        <v>424</v>
      </c>
      <c r="B431" s="1"/>
      <c r="C431" s="1"/>
      <c r="N431"/>
    </row>
    <row r="432" spans="1:14">
      <c r="A432" s="1" t="s">
        <v>278</v>
      </c>
      <c r="B432" s="1"/>
      <c r="C432" s="1"/>
      <c r="N432"/>
    </row>
    <row r="433" spans="1:14">
      <c r="A433" s="1" t="s">
        <v>237</v>
      </c>
      <c r="B433" s="1"/>
      <c r="C433" s="1"/>
      <c r="N433"/>
    </row>
    <row r="434" spans="1:14">
      <c r="A434" s="1" t="s">
        <v>238</v>
      </c>
      <c r="B434" s="1"/>
      <c r="C434" s="1"/>
      <c r="N434"/>
    </row>
    <row r="435" spans="1:14">
      <c r="A435" s="1" t="s">
        <v>239</v>
      </c>
      <c r="B435" s="1"/>
      <c r="C435" s="1"/>
      <c r="N435"/>
    </row>
    <row r="436" spans="1:14">
      <c r="A436" s="1" t="s">
        <v>240</v>
      </c>
      <c r="B436" s="1"/>
      <c r="C436" s="1"/>
      <c r="N436"/>
    </row>
    <row r="437" spans="1:14">
      <c r="A437" s="1" t="s">
        <v>241</v>
      </c>
      <c r="B437" s="1"/>
      <c r="C437" s="1"/>
      <c r="N437"/>
    </row>
    <row r="438" spans="1:14">
      <c r="A438" s="1" t="s">
        <v>242</v>
      </c>
      <c r="B438" s="1"/>
      <c r="C438" s="1"/>
      <c r="N438"/>
    </row>
    <row r="439" spans="1:14">
      <c r="A439" s="1" t="s">
        <v>470</v>
      </c>
      <c r="B439" s="1"/>
      <c r="C439" s="1"/>
      <c r="N439"/>
    </row>
    <row r="440" spans="1:14">
      <c r="A440" s="1" t="s">
        <v>243</v>
      </c>
      <c r="B440" s="1"/>
      <c r="C440" s="1"/>
      <c r="N440"/>
    </row>
    <row r="441" spans="1:14">
      <c r="A441" s="1" t="s">
        <v>244</v>
      </c>
      <c r="B441" s="1"/>
      <c r="C441" s="1"/>
      <c r="N441"/>
    </row>
    <row r="442" spans="1:14">
      <c r="A442" s="1" t="s">
        <v>245</v>
      </c>
      <c r="B442" s="1"/>
      <c r="C442" s="1"/>
      <c r="N442"/>
    </row>
    <row r="443" spans="1:14">
      <c r="A443" s="1" t="s">
        <v>246</v>
      </c>
      <c r="B443" s="1"/>
      <c r="C443" s="1"/>
      <c r="N443"/>
    </row>
    <row r="444" spans="1:14">
      <c r="A444" s="1" t="s">
        <v>247</v>
      </c>
      <c r="B444" s="1"/>
      <c r="C444" s="1"/>
      <c r="N444"/>
    </row>
    <row r="445" spans="1:14">
      <c r="A445" s="1" t="s">
        <v>248</v>
      </c>
      <c r="B445" s="1"/>
      <c r="C445" s="1"/>
      <c r="N445"/>
    </row>
    <row r="446" spans="1:14">
      <c r="A446" s="1" t="s">
        <v>249</v>
      </c>
      <c r="B446" s="1"/>
      <c r="C446" s="1"/>
      <c r="N446"/>
    </row>
    <row r="447" spans="1:14">
      <c r="A447" s="1" t="s">
        <v>250</v>
      </c>
      <c r="B447" s="1"/>
      <c r="C447" s="1"/>
      <c r="N447"/>
    </row>
    <row r="448" spans="1:14">
      <c r="A448" s="1" t="s">
        <v>251</v>
      </c>
      <c r="B448" s="1"/>
      <c r="C448" s="1"/>
      <c r="N448"/>
    </row>
    <row r="449" spans="1:14">
      <c r="A449" s="1" t="s">
        <v>252</v>
      </c>
      <c r="B449" s="1"/>
      <c r="C449" s="1"/>
      <c r="N449"/>
    </row>
    <row r="450" spans="1:14">
      <c r="A450" s="1" t="s">
        <v>253</v>
      </c>
      <c r="B450" s="1"/>
      <c r="C450" s="1"/>
      <c r="N450"/>
    </row>
    <row r="451" spans="1:14">
      <c r="A451" s="1" t="s">
        <v>254</v>
      </c>
      <c r="B451" s="1"/>
      <c r="C451" s="1"/>
      <c r="N451"/>
    </row>
    <row r="452" spans="1:14">
      <c r="A452" s="1" t="s">
        <v>255</v>
      </c>
      <c r="B452" s="1"/>
      <c r="C452" s="1"/>
      <c r="N452"/>
    </row>
    <row r="453" spans="1:14">
      <c r="A453" s="1" t="s">
        <v>256</v>
      </c>
      <c r="B453" s="1"/>
      <c r="C453" s="1"/>
      <c r="N453"/>
    </row>
    <row r="454" spans="1:14">
      <c r="A454" s="1" t="s">
        <v>257</v>
      </c>
      <c r="B454" s="1"/>
      <c r="C454" s="1"/>
      <c r="N454"/>
    </row>
    <row r="455" spans="1:14">
      <c r="A455" s="1" t="s">
        <v>258</v>
      </c>
      <c r="B455" s="1"/>
      <c r="C455" s="1"/>
      <c r="N455"/>
    </row>
    <row r="456" spans="1:14">
      <c r="A456" s="1" t="s">
        <v>259</v>
      </c>
      <c r="B456" s="1"/>
      <c r="C456" s="1"/>
      <c r="N456"/>
    </row>
    <row r="457" spans="1:14">
      <c r="A457" s="1"/>
      <c r="B457" s="1"/>
      <c r="C457" s="1"/>
      <c r="N457"/>
    </row>
    <row r="458" spans="1:14">
      <c r="A458" s="1" t="s">
        <v>260</v>
      </c>
      <c r="B458" s="1"/>
      <c r="C458" s="1"/>
      <c r="N458"/>
    </row>
    <row r="459" spans="1:14">
      <c r="A459" s="1"/>
      <c r="B459" s="1"/>
      <c r="C459" s="1"/>
      <c r="N459"/>
    </row>
    <row r="460" spans="1:14">
      <c r="A460" s="1" t="s">
        <v>261</v>
      </c>
      <c r="B460" s="1"/>
      <c r="C460" s="1"/>
      <c r="N460"/>
    </row>
    <row r="461" spans="1:14">
      <c r="A461" s="1"/>
      <c r="B461" s="1"/>
      <c r="C461" s="1"/>
      <c r="N461"/>
    </row>
    <row r="462" spans="1:14">
      <c r="A462" s="1" t="s">
        <v>480</v>
      </c>
      <c r="B462" s="1"/>
      <c r="C462" s="1"/>
      <c r="N462"/>
    </row>
    <row r="463" spans="1:14">
      <c r="A463" s="1"/>
      <c r="B463" s="1"/>
      <c r="C463" s="1"/>
      <c r="N463"/>
    </row>
    <row r="464" spans="1:14">
      <c r="A464" s="1" t="s">
        <v>262</v>
      </c>
      <c r="B464" s="1"/>
      <c r="C464" s="1"/>
      <c r="N464"/>
    </row>
    <row r="465" spans="1:14">
      <c r="A465" s="1"/>
      <c r="B465" s="1"/>
      <c r="C465" s="1"/>
      <c r="N465"/>
    </row>
    <row r="466" spans="1:14">
      <c r="A466" s="1" t="s">
        <v>263</v>
      </c>
      <c r="B466" s="1"/>
      <c r="C466" s="1"/>
      <c r="N466"/>
    </row>
    <row r="467" spans="1:14">
      <c r="A467" s="1"/>
      <c r="B467" s="1"/>
      <c r="C467" s="1"/>
      <c r="N467"/>
    </row>
    <row r="468" spans="1:14">
      <c r="A468" s="1" t="s">
        <v>264</v>
      </c>
      <c r="B468" s="1"/>
      <c r="C468" s="1"/>
      <c r="N468"/>
    </row>
    <row r="469" spans="1:14">
      <c r="A469" s="1" t="s">
        <v>265</v>
      </c>
      <c r="B469" s="1"/>
      <c r="C469" s="1"/>
      <c r="N469"/>
    </row>
    <row r="470" spans="1:14">
      <c r="A470" s="1"/>
      <c r="B470" s="1"/>
      <c r="C470" s="1"/>
      <c r="N470"/>
    </row>
    <row r="471" spans="1:14">
      <c r="A471" s="1" t="s">
        <v>266</v>
      </c>
      <c r="B471" s="1"/>
      <c r="C471" s="1"/>
      <c r="N471"/>
    </row>
    <row r="472" spans="1:14">
      <c r="A472" s="1"/>
      <c r="B472" s="1"/>
      <c r="C472" s="1"/>
      <c r="N472"/>
    </row>
    <row r="473" spans="1:14">
      <c r="A473" s="1" t="s">
        <v>267</v>
      </c>
      <c r="B473" s="1"/>
      <c r="C473" s="1"/>
      <c r="N473"/>
    </row>
    <row r="474" spans="1:14">
      <c r="A474" s="1" t="s">
        <v>268</v>
      </c>
      <c r="B474" s="1"/>
      <c r="C474" s="1"/>
      <c r="N474"/>
    </row>
    <row r="475" spans="1:14">
      <c r="A475" s="1" t="s">
        <v>269</v>
      </c>
      <c r="B475" s="1"/>
      <c r="C475" s="1"/>
      <c r="N475"/>
    </row>
    <row r="476" spans="1:14">
      <c r="A476" s="1" t="s">
        <v>270</v>
      </c>
      <c r="B476" s="1"/>
      <c r="C476" s="1"/>
      <c r="N476"/>
    </row>
    <row r="477" spans="1:14">
      <c r="A477" s="1" t="s">
        <v>271</v>
      </c>
      <c r="B477" s="1"/>
      <c r="C477" s="1"/>
      <c r="N477"/>
    </row>
    <row r="478" spans="1:14">
      <c r="A478" s="1" t="s">
        <v>272</v>
      </c>
      <c r="B478" s="1"/>
      <c r="C478" s="1"/>
      <c r="N478"/>
    </row>
    <row r="479" spans="1:14">
      <c r="A479" s="1" t="s">
        <v>273</v>
      </c>
      <c r="B479" s="1"/>
      <c r="C479" s="1"/>
      <c r="N479"/>
    </row>
    <row r="480" spans="1:14">
      <c r="A480" s="1"/>
      <c r="B480" s="1"/>
      <c r="C480" s="1"/>
      <c r="N480"/>
    </row>
    <row r="481" spans="1:14">
      <c r="A481" s="1" t="s">
        <v>274</v>
      </c>
      <c r="B481" s="1"/>
      <c r="C481" s="1"/>
      <c r="N481"/>
    </row>
    <row r="482" spans="1:14">
      <c r="A482" s="1"/>
      <c r="B482" s="1"/>
      <c r="C482" s="1"/>
      <c r="N482"/>
    </row>
    <row r="483" spans="1:14">
      <c r="A483" s="1" t="s">
        <v>275</v>
      </c>
      <c r="B483" s="1"/>
      <c r="C483" s="1"/>
      <c r="N483"/>
    </row>
    <row r="484" spans="1:14">
      <c r="A484" s="1"/>
      <c r="B484" s="1"/>
      <c r="C484" s="1"/>
      <c r="N484"/>
    </row>
    <row r="485" spans="1:14">
      <c r="A485" s="1" t="s">
        <v>459</v>
      </c>
      <c r="B485" s="1"/>
      <c r="C485" s="1"/>
      <c r="N485"/>
    </row>
    <row r="486" spans="1:14">
      <c r="A486" s="1"/>
      <c r="B486" s="1"/>
      <c r="C486" s="1"/>
      <c r="N486"/>
    </row>
    <row r="487" spans="1:14">
      <c r="A487" s="1" t="s">
        <v>420</v>
      </c>
      <c r="B487" s="1"/>
      <c r="C487" s="1"/>
      <c r="N487"/>
    </row>
    <row r="488" spans="1:14">
      <c r="A488" s="1"/>
      <c r="B488" s="1"/>
      <c r="C488" s="1"/>
      <c r="N488"/>
    </row>
    <row r="489" spans="1:14">
      <c r="A489" s="1" t="s">
        <v>276</v>
      </c>
      <c r="B489" s="1"/>
      <c r="C489" s="1"/>
      <c r="N489"/>
    </row>
    <row r="490" spans="1:14">
      <c r="A490" s="1"/>
      <c r="B490" s="1"/>
      <c r="C490" s="1"/>
      <c r="N490"/>
    </row>
    <row r="491" spans="1:14">
      <c r="A491" s="1" t="s">
        <v>134</v>
      </c>
      <c r="B491" s="1"/>
      <c r="C491" s="1"/>
      <c r="N491"/>
    </row>
    <row r="492" spans="1:14">
      <c r="A492" s="1" t="s">
        <v>135</v>
      </c>
      <c r="B492" s="1"/>
      <c r="C492" s="1"/>
      <c r="N492"/>
    </row>
    <row r="493" spans="1:14">
      <c r="A493" s="1" t="s">
        <v>136</v>
      </c>
      <c r="B493" s="1"/>
      <c r="C493" s="1"/>
      <c r="N493"/>
    </row>
    <row r="494" spans="1:14">
      <c r="A494" s="1" t="s">
        <v>137</v>
      </c>
      <c r="B494" s="1"/>
      <c r="C494" s="1"/>
      <c r="N494"/>
    </row>
    <row r="495" spans="1:14">
      <c r="A495" s="1" t="s">
        <v>138</v>
      </c>
      <c r="B495" s="1"/>
      <c r="C495" s="1"/>
      <c r="N495"/>
    </row>
    <row r="496" spans="1:14">
      <c r="A496" s="1" t="s">
        <v>481</v>
      </c>
      <c r="B496" s="1"/>
      <c r="C496" s="1"/>
      <c r="N496"/>
    </row>
    <row r="497" spans="1:14">
      <c r="A497" s="1" t="s">
        <v>139</v>
      </c>
      <c r="B497" s="1"/>
      <c r="C497" s="1"/>
      <c r="N497"/>
    </row>
    <row r="498" spans="1:14">
      <c r="A498" s="1" t="s">
        <v>140</v>
      </c>
      <c r="B498" s="1"/>
      <c r="C498" s="1"/>
      <c r="N498"/>
    </row>
    <row r="499" spans="1:14">
      <c r="A499" s="1" t="s">
        <v>133</v>
      </c>
      <c r="B499" s="1"/>
      <c r="C499" s="1"/>
      <c r="N499"/>
    </row>
    <row r="500" spans="1:14">
      <c r="A500" s="1" t="s">
        <v>467</v>
      </c>
      <c r="B500" s="1"/>
      <c r="C500" s="1"/>
      <c r="N500"/>
    </row>
    <row r="501" spans="1:14">
      <c r="A501" s="1"/>
      <c r="B501" s="1"/>
      <c r="C501" s="1"/>
      <c r="N501"/>
    </row>
    <row r="502" spans="1:14">
      <c r="A502" s="1" t="s">
        <v>468</v>
      </c>
      <c r="B502" s="1"/>
      <c r="C502" s="1"/>
      <c r="N502"/>
    </row>
    <row r="503" spans="1:14">
      <c r="N503"/>
    </row>
    <row r="504" spans="1:14">
      <c r="N504"/>
    </row>
    <row r="505" spans="1:14">
      <c r="N505"/>
    </row>
    <row r="506" spans="1:14">
      <c r="N506"/>
    </row>
    <row r="507" spans="1:14">
      <c r="N507"/>
    </row>
    <row r="508" spans="1:14">
      <c r="N508"/>
    </row>
    <row r="509" spans="1:14">
      <c r="N509"/>
    </row>
    <row r="510" spans="1:14">
      <c r="N510"/>
    </row>
    <row r="511" spans="1:14">
      <c r="N511"/>
    </row>
    <row r="512" spans="1:14">
      <c r="N512"/>
    </row>
    <row r="513" spans="14:14">
      <c r="N513"/>
    </row>
    <row r="514" spans="14:14">
      <c r="N514"/>
    </row>
    <row r="515" spans="14:14">
      <c r="N515"/>
    </row>
    <row r="516" spans="14:14">
      <c r="N516"/>
    </row>
    <row r="517" spans="14:14">
      <c r="N517"/>
    </row>
    <row r="518" spans="14:14">
      <c r="N518"/>
    </row>
    <row r="519" spans="14:14">
      <c r="N51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47"/>
  <sheetViews>
    <sheetView zoomScaleNormal="100" workbookViewId="0">
      <selection activeCell="G5" sqref="G5"/>
    </sheetView>
  </sheetViews>
  <sheetFormatPr defaultRowHeight="15"/>
  <cols>
    <col min="1" max="1" width="8.5703125" bestFit="1" customWidth="1"/>
    <col min="2" max="2" width="12.7109375" bestFit="1" customWidth="1"/>
    <col min="3" max="3" width="20" bestFit="1" customWidth="1"/>
    <col min="4" max="4" width="16.7109375" style="33" bestFit="1" customWidth="1"/>
    <col min="5" max="5" width="20" bestFit="1" customWidth="1"/>
    <col min="6" max="6" width="12.28515625" style="33" bestFit="1" customWidth="1"/>
    <col min="7" max="7" width="17" bestFit="1" customWidth="1"/>
    <col min="8" max="8" width="12.28515625" style="1" bestFit="1" customWidth="1"/>
    <col min="9" max="9" width="13.7109375" bestFit="1" customWidth="1"/>
  </cols>
  <sheetData>
    <row r="1" spans="1:9" s="1" customFormat="1">
      <c r="A1" s="3" t="s">
        <v>67</v>
      </c>
      <c r="B1" s="3" t="s">
        <v>68</v>
      </c>
      <c r="C1" s="3" t="s">
        <v>4</v>
      </c>
      <c r="D1" s="35" t="s">
        <v>108</v>
      </c>
      <c r="E1" s="3" t="s">
        <v>6</v>
      </c>
      <c r="F1" s="35" t="s">
        <v>109</v>
      </c>
      <c r="G1" s="3" t="s">
        <v>8</v>
      </c>
      <c r="H1" s="35" t="s">
        <v>110</v>
      </c>
      <c r="I1" s="3" t="s">
        <v>107</v>
      </c>
    </row>
    <row r="2" spans="1:9">
      <c r="A2" s="1" t="s">
        <v>425</v>
      </c>
      <c r="B2" s="122" t="s">
        <v>119</v>
      </c>
      <c r="C2" s="1" t="s">
        <v>65</v>
      </c>
      <c r="D2" s="35"/>
      <c r="E2" s="1" t="s">
        <v>61</v>
      </c>
      <c r="F2" s="35"/>
      <c r="G2" s="1" t="s">
        <v>66</v>
      </c>
      <c r="H2" s="35"/>
      <c r="I2" s="35">
        <v>23.916666666666664</v>
      </c>
    </row>
    <row r="3" spans="1:9">
      <c r="A3" s="1" t="s">
        <v>426</v>
      </c>
      <c r="B3" s="122" t="s">
        <v>28</v>
      </c>
      <c r="C3" s="1" t="s">
        <v>50</v>
      </c>
      <c r="D3" s="35"/>
      <c r="E3" s="1" t="s">
        <v>64</v>
      </c>
      <c r="F3" s="35"/>
      <c r="G3" s="1" t="s">
        <v>123</v>
      </c>
      <c r="H3" s="35"/>
      <c r="I3" s="35">
        <v>24.549999999999997</v>
      </c>
    </row>
    <row r="4" spans="1:9">
      <c r="A4" s="1" t="s">
        <v>302</v>
      </c>
      <c r="B4" s="122" t="s">
        <v>30</v>
      </c>
      <c r="C4" s="1" t="s">
        <v>51</v>
      </c>
      <c r="D4" s="35"/>
      <c r="E4" s="1" t="s">
        <v>41</v>
      </c>
      <c r="F4" s="35"/>
      <c r="G4" s="1" t="s">
        <v>53</v>
      </c>
      <c r="H4" s="35"/>
      <c r="I4" s="35">
        <v>21.883333333333333</v>
      </c>
    </row>
    <row r="5" spans="1:9">
      <c r="A5" s="1" t="s">
        <v>301</v>
      </c>
      <c r="B5" s="122" t="s">
        <v>26</v>
      </c>
      <c r="C5" s="1" t="s">
        <v>45</v>
      </c>
      <c r="D5" s="35"/>
      <c r="E5" s="1" t="s">
        <v>54</v>
      </c>
      <c r="F5" s="35"/>
      <c r="G5" s="1" t="s">
        <v>106</v>
      </c>
      <c r="H5" s="35"/>
      <c r="I5" s="35">
        <v>28.449999999999996</v>
      </c>
    </row>
    <row r="6" spans="1:9">
      <c r="A6" s="1" t="s">
        <v>300</v>
      </c>
      <c r="B6" s="122" t="s">
        <v>29</v>
      </c>
      <c r="C6" s="1" t="s">
        <v>43</v>
      </c>
      <c r="D6" s="35"/>
      <c r="E6" s="1" t="s">
        <v>52</v>
      </c>
      <c r="F6" s="35"/>
      <c r="G6" s="1" t="s">
        <v>128</v>
      </c>
      <c r="H6" s="35"/>
      <c r="I6" s="35">
        <v>24.716666666666669</v>
      </c>
    </row>
    <row r="7" spans="1:9">
      <c r="A7" s="1" t="s">
        <v>296</v>
      </c>
      <c r="B7" s="122" t="s">
        <v>24</v>
      </c>
      <c r="C7" s="1" t="s">
        <v>48</v>
      </c>
      <c r="D7" s="35"/>
      <c r="E7" s="1" t="s">
        <v>122</v>
      </c>
      <c r="F7" s="35"/>
      <c r="G7" s="1" t="s">
        <v>57</v>
      </c>
      <c r="H7" s="35"/>
      <c r="I7" s="35">
        <v>26.000000000000004</v>
      </c>
    </row>
    <row r="8" spans="1:9">
      <c r="A8" s="1" t="s">
        <v>297</v>
      </c>
      <c r="B8" s="122" t="s">
        <v>31</v>
      </c>
      <c r="C8" s="1" t="s">
        <v>105</v>
      </c>
      <c r="D8" s="35"/>
      <c r="E8" s="1" t="s">
        <v>62</v>
      </c>
      <c r="F8" s="35"/>
      <c r="G8" s="1" t="s">
        <v>60</v>
      </c>
      <c r="H8" s="35"/>
      <c r="I8" s="35">
        <v>26.75</v>
      </c>
    </row>
    <row r="9" spans="1:9">
      <c r="A9" s="1" t="s">
        <v>427</v>
      </c>
      <c r="B9" s="122" t="s">
        <v>25</v>
      </c>
      <c r="C9" s="1" t="s">
        <v>120</v>
      </c>
      <c r="D9" s="35"/>
      <c r="E9" s="1" t="s">
        <v>129</v>
      </c>
      <c r="F9" s="35"/>
      <c r="G9" s="1" t="s">
        <v>49</v>
      </c>
      <c r="H9" s="35"/>
      <c r="I9" s="35">
        <v>26.983333333333334</v>
      </c>
    </row>
    <row r="10" spans="1:9">
      <c r="A10" s="1" t="s">
        <v>298</v>
      </c>
      <c r="B10" s="122" t="s">
        <v>27</v>
      </c>
      <c r="C10" s="1" t="s">
        <v>42</v>
      </c>
      <c r="D10" s="35"/>
      <c r="E10" s="1" t="s">
        <v>40</v>
      </c>
      <c r="F10" s="35"/>
      <c r="G10" s="1" t="s">
        <v>55</v>
      </c>
      <c r="H10" s="35"/>
      <c r="I10" s="35">
        <v>21.333333333333336</v>
      </c>
    </row>
    <row r="11" spans="1:9">
      <c r="A11" s="1" t="s">
        <v>299</v>
      </c>
      <c r="B11" s="122" t="s">
        <v>111</v>
      </c>
      <c r="C11" s="1" t="s">
        <v>46</v>
      </c>
      <c r="D11" s="35"/>
      <c r="E11" s="1" t="s">
        <v>59</v>
      </c>
      <c r="F11" s="35"/>
      <c r="G11" s="1" t="s">
        <v>63</v>
      </c>
      <c r="H11" s="35"/>
      <c r="I11" s="35">
        <v>22.950000000000003</v>
      </c>
    </row>
    <row r="12" spans="1:9">
      <c r="A12" s="37" t="s">
        <v>277</v>
      </c>
      <c r="B12" s="37" t="s">
        <v>277</v>
      </c>
      <c r="C12" s="34" t="s">
        <v>58</v>
      </c>
      <c r="D12" s="39"/>
      <c r="E12" s="1" t="s">
        <v>44</v>
      </c>
      <c r="F12" s="39"/>
      <c r="G12" s="38"/>
      <c r="H12" s="39"/>
      <c r="I12" s="39"/>
    </row>
    <row r="15" spans="1:9">
      <c r="B15" s="1" t="s">
        <v>75</v>
      </c>
      <c r="C15" s="1" t="s">
        <v>49</v>
      </c>
      <c r="D15" s="33">
        <v>4.416666666666667</v>
      </c>
      <c r="G15" s="1"/>
      <c r="I15" s="1"/>
    </row>
    <row r="16" spans="1:9">
      <c r="B16" s="1" t="s">
        <v>90</v>
      </c>
      <c r="C16" s="1" t="s">
        <v>60</v>
      </c>
      <c r="D16" s="33">
        <v>9.4</v>
      </c>
      <c r="G16" s="1"/>
      <c r="I16" s="1"/>
    </row>
    <row r="17" spans="2:9">
      <c r="B17" s="1" t="s">
        <v>84</v>
      </c>
      <c r="C17" s="1" t="s">
        <v>62</v>
      </c>
      <c r="D17" s="33">
        <v>8.4166666666666661</v>
      </c>
      <c r="G17" s="1"/>
      <c r="I17" s="1"/>
    </row>
    <row r="18" spans="2:9">
      <c r="B18" s="1" t="s">
        <v>83</v>
      </c>
      <c r="C18" s="1" t="s">
        <v>51</v>
      </c>
      <c r="D18" s="33">
        <v>7.1166666666666671</v>
      </c>
      <c r="G18" s="1"/>
      <c r="I18" s="1"/>
    </row>
    <row r="19" spans="2:9">
      <c r="B19" s="1" t="s">
        <v>71</v>
      </c>
      <c r="C19" s="1" t="s">
        <v>55</v>
      </c>
      <c r="D19" s="33">
        <v>6.7833333333333341</v>
      </c>
      <c r="G19" s="1"/>
      <c r="I19" s="1"/>
    </row>
    <row r="20" spans="2:9">
      <c r="B20" s="1" t="s">
        <v>95</v>
      </c>
      <c r="C20" s="1" t="s">
        <v>57</v>
      </c>
      <c r="D20" s="33">
        <v>9.0166666666666675</v>
      </c>
      <c r="G20" s="1"/>
      <c r="I20" s="1"/>
    </row>
    <row r="21" spans="2:9">
      <c r="B21" s="1" t="s">
        <v>77</v>
      </c>
      <c r="C21" s="1" t="s">
        <v>58</v>
      </c>
      <c r="D21" s="33">
        <v>4.666666666666667</v>
      </c>
      <c r="G21" s="1"/>
      <c r="I21" s="1"/>
    </row>
    <row r="22" spans="2:9">
      <c r="B22" s="1" t="s">
        <v>97</v>
      </c>
      <c r="C22" s="1" t="s">
        <v>105</v>
      </c>
      <c r="D22" s="33">
        <v>9.7999999999999989</v>
      </c>
      <c r="G22" s="1"/>
      <c r="I22" s="1"/>
    </row>
    <row r="23" spans="2:9">
      <c r="B23" s="1" t="s">
        <v>93</v>
      </c>
      <c r="C23" s="1" t="s">
        <v>41</v>
      </c>
      <c r="D23" s="33">
        <v>8.5499999999999989</v>
      </c>
      <c r="G23" s="1"/>
      <c r="I23" s="1"/>
    </row>
    <row r="24" spans="2:9">
      <c r="B24" s="1" t="s">
        <v>69</v>
      </c>
      <c r="C24" s="1" t="s">
        <v>61</v>
      </c>
      <c r="D24" s="33">
        <v>6.166666666666667</v>
      </c>
      <c r="G24" s="1"/>
      <c r="I24" s="1"/>
    </row>
    <row r="25" spans="2:9">
      <c r="B25" s="1" t="s">
        <v>79</v>
      </c>
      <c r="C25" s="1" t="s">
        <v>66</v>
      </c>
      <c r="D25" s="33">
        <v>6</v>
      </c>
      <c r="G25" s="1"/>
      <c r="I25" s="1"/>
    </row>
    <row r="26" spans="2:9">
      <c r="B26" s="1" t="s">
        <v>76</v>
      </c>
      <c r="C26" s="1" t="s">
        <v>43</v>
      </c>
      <c r="D26" s="33">
        <v>10.1</v>
      </c>
      <c r="G26" s="1"/>
      <c r="I26" s="1"/>
    </row>
    <row r="27" spans="2:9">
      <c r="B27" s="1" t="s">
        <v>80</v>
      </c>
      <c r="C27" s="1" t="s">
        <v>44</v>
      </c>
      <c r="D27" s="33">
        <v>7.7666666666666666</v>
      </c>
      <c r="G27" s="1"/>
      <c r="I27" s="1"/>
    </row>
    <row r="28" spans="2:9">
      <c r="B28" s="1" t="s">
        <v>88</v>
      </c>
      <c r="C28" s="1" t="s">
        <v>64</v>
      </c>
      <c r="D28" s="33">
        <v>9.35</v>
      </c>
      <c r="G28" s="1"/>
      <c r="I28" s="1"/>
    </row>
    <row r="29" spans="2:9">
      <c r="B29" s="1" t="s">
        <v>96</v>
      </c>
      <c r="C29" s="1" t="s">
        <v>53</v>
      </c>
      <c r="D29" s="33">
        <v>7.916666666666667</v>
      </c>
      <c r="G29" s="1"/>
      <c r="I29" s="1"/>
    </row>
    <row r="30" spans="2:9">
      <c r="B30" s="1" t="s">
        <v>72</v>
      </c>
      <c r="C30" s="1" t="s">
        <v>65</v>
      </c>
      <c r="D30" s="33">
        <v>10.9</v>
      </c>
      <c r="G30" s="1"/>
      <c r="I30" s="1"/>
    </row>
    <row r="31" spans="2:9">
      <c r="B31" s="1" t="s">
        <v>125</v>
      </c>
      <c r="C31" s="1" t="s">
        <v>120</v>
      </c>
      <c r="D31" s="33">
        <v>10.799999999999999</v>
      </c>
      <c r="G31" s="1"/>
      <c r="I31" s="1"/>
    </row>
    <row r="32" spans="2:9">
      <c r="B32" t="s">
        <v>124</v>
      </c>
      <c r="C32" s="1" t="s">
        <v>45</v>
      </c>
      <c r="D32" s="33">
        <v>10</v>
      </c>
      <c r="G32" s="1"/>
      <c r="I32" s="1"/>
    </row>
    <row r="33" spans="2:9">
      <c r="B33" s="1" t="s">
        <v>94</v>
      </c>
      <c r="C33" s="1" t="s">
        <v>122</v>
      </c>
      <c r="D33" s="33">
        <v>4.7666666666666666</v>
      </c>
      <c r="G33" s="1"/>
      <c r="I33" s="1"/>
    </row>
    <row r="34" spans="2:9">
      <c r="B34" s="1" t="s">
        <v>78</v>
      </c>
      <c r="C34" s="1" t="s">
        <v>59</v>
      </c>
      <c r="D34" s="33">
        <v>9.75</v>
      </c>
      <c r="G34" s="1"/>
      <c r="I34" s="1"/>
    </row>
    <row r="35" spans="2:9">
      <c r="B35" s="1" t="s">
        <v>74</v>
      </c>
      <c r="C35" s="1" t="s">
        <v>46</v>
      </c>
      <c r="D35" s="33">
        <v>11.233333333333334</v>
      </c>
      <c r="G35" s="1"/>
      <c r="I35" s="1"/>
    </row>
    <row r="36" spans="2:9">
      <c r="B36" s="1" t="s">
        <v>91</v>
      </c>
      <c r="C36" s="1" t="s">
        <v>54</v>
      </c>
      <c r="D36" s="33">
        <v>10.683333333333332</v>
      </c>
      <c r="H36"/>
    </row>
    <row r="37" spans="2:9">
      <c r="B37" s="1" t="s">
        <v>85</v>
      </c>
      <c r="C37" s="1" t="s">
        <v>63</v>
      </c>
      <c r="D37" s="33">
        <v>5.3833333333333329</v>
      </c>
      <c r="H37"/>
    </row>
    <row r="38" spans="2:9">
      <c r="B38" s="1" t="s">
        <v>81</v>
      </c>
      <c r="C38" s="1" t="s">
        <v>123</v>
      </c>
      <c r="D38" s="33">
        <v>7.0333333333333341</v>
      </c>
      <c r="H38"/>
    </row>
    <row r="39" spans="2:9">
      <c r="B39" s="1" t="s">
        <v>89</v>
      </c>
      <c r="C39" s="1" t="s">
        <v>47</v>
      </c>
      <c r="D39" s="33">
        <v>5.583333333333333</v>
      </c>
      <c r="H39"/>
    </row>
    <row r="40" spans="2:9">
      <c r="B40" s="1" t="s">
        <v>82</v>
      </c>
      <c r="C40" s="1" t="s">
        <v>106</v>
      </c>
      <c r="D40" s="33">
        <v>9.8833333333333329</v>
      </c>
      <c r="H40"/>
    </row>
    <row r="41" spans="2:9">
      <c r="B41" s="1" t="s">
        <v>73</v>
      </c>
      <c r="C41" s="1" t="s">
        <v>52</v>
      </c>
      <c r="D41" s="33">
        <v>9.5833333333333339</v>
      </c>
      <c r="H41"/>
    </row>
    <row r="42" spans="2:9">
      <c r="B42" s="1" t="s">
        <v>86</v>
      </c>
      <c r="C42" s="1" t="s">
        <v>48</v>
      </c>
      <c r="D42" s="33">
        <v>8.7833333333333332</v>
      </c>
      <c r="H42"/>
    </row>
    <row r="43" spans="2:9">
      <c r="B43" s="1" t="s">
        <v>70</v>
      </c>
      <c r="C43" s="1" t="s">
        <v>40</v>
      </c>
      <c r="D43" s="33">
        <v>8.3833333333333329</v>
      </c>
      <c r="H43"/>
    </row>
    <row r="44" spans="2:9">
      <c r="B44" s="1" t="s">
        <v>92</v>
      </c>
      <c r="C44" s="1" t="s">
        <v>50</v>
      </c>
      <c r="D44" s="33">
        <v>5.8999999999999995</v>
      </c>
      <c r="H44"/>
    </row>
    <row r="45" spans="2:9">
      <c r="B45" t="s">
        <v>126</v>
      </c>
      <c r="C45" s="1" t="s">
        <v>42</v>
      </c>
      <c r="D45" s="33">
        <v>8.1666666666666661</v>
      </c>
    </row>
    <row r="46" spans="2:9">
      <c r="B46" t="s">
        <v>87</v>
      </c>
      <c r="C46" s="1" t="s">
        <v>56</v>
      </c>
      <c r="D46" s="33">
        <v>5.0333333333333332</v>
      </c>
    </row>
    <row r="47" spans="2:9">
      <c r="B47" s="1"/>
    </row>
  </sheetData>
  <sortState xmlns:xlrd2="http://schemas.microsoft.com/office/spreadsheetml/2017/richdata2" ref="G15:I44">
    <sortCondition ref="H15:H44"/>
  </sortState>
  <conditionalFormatting sqref="H15:I35 E2 G2 E5:E6 G6">
    <cfRule type="cellIs" dxfId="48" priority="39" operator="equal">
      <formula>"Worst"</formula>
    </cfRule>
    <cfRule type="cellIs" dxfId="47" priority="40" operator="equal">
      <formula>"Best"</formula>
    </cfRule>
  </conditionalFormatting>
  <conditionalFormatting sqref="A2:A11">
    <cfRule type="cellIs" dxfId="46" priority="37" operator="equal">
      <formula>"Worst"</formula>
    </cfRule>
    <cfRule type="cellIs" dxfId="45" priority="38" operator="equal">
      <formula>"Best"</formula>
    </cfRule>
  </conditionalFormatting>
  <conditionalFormatting sqref="C2:C8 C10">
    <cfRule type="cellIs" dxfId="44" priority="35" operator="equal">
      <formula>"Worst"</formula>
    </cfRule>
    <cfRule type="cellIs" dxfId="43" priority="36" operator="equal">
      <formula>"Best"</formula>
    </cfRule>
  </conditionalFormatting>
  <conditionalFormatting sqref="C9">
    <cfRule type="cellIs" dxfId="42" priority="33" operator="equal">
      <formula>"Worst"</formula>
    </cfRule>
    <cfRule type="cellIs" dxfId="41" priority="34" operator="equal">
      <formula>"Best"</formula>
    </cfRule>
  </conditionalFormatting>
  <conditionalFormatting sqref="E9">
    <cfRule type="cellIs" dxfId="40" priority="31" operator="equal">
      <formula>"Worst"</formula>
    </cfRule>
    <cfRule type="cellIs" dxfId="39" priority="32" operator="equal">
      <formula>"Best"</formula>
    </cfRule>
  </conditionalFormatting>
  <conditionalFormatting sqref="G9">
    <cfRule type="cellIs" dxfId="38" priority="29" operator="equal">
      <formula>"Worst"</formula>
    </cfRule>
    <cfRule type="cellIs" dxfId="37" priority="30" operator="equal">
      <formula>"Best"</formula>
    </cfRule>
  </conditionalFormatting>
  <conditionalFormatting sqref="C11">
    <cfRule type="cellIs" dxfId="36" priority="27" operator="equal">
      <formula>"Worst"</formula>
    </cfRule>
    <cfRule type="cellIs" dxfId="35" priority="28" operator="equal">
      <formula>"Best"</formula>
    </cfRule>
  </conditionalFormatting>
  <conditionalFormatting sqref="E11">
    <cfRule type="cellIs" dxfId="34" priority="25" operator="equal">
      <formula>"Worst"</formula>
    </cfRule>
    <cfRule type="cellIs" dxfId="33" priority="26" operator="equal">
      <formula>"Best"</formula>
    </cfRule>
  </conditionalFormatting>
  <conditionalFormatting sqref="G11">
    <cfRule type="cellIs" dxfId="32" priority="23" operator="equal">
      <formula>"Worst"</formula>
    </cfRule>
    <cfRule type="cellIs" dxfId="31" priority="24" operator="equal">
      <formula>"Best"</formula>
    </cfRule>
  </conditionalFormatting>
  <conditionalFormatting sqref="E10">
    <cfRule type="cellIs" dxfId="30" priority="21" operator="equal">
      <formula>"Worst"</formula>
    </cfRule>
    <cfRule type="cellIs" dxfId="29" priority="22" operator="equal">
      <formula>"Best"</formula>
    </cfRule>
  </conditionalFormatting>
  <conditionalFormatting sqref="G10">
    <cfRule type="cellIs" dxfId="28" priority="19" operator="equal">
      <formula>"Worst"</formula>
    </cfRule>
    <cfRule type="cellIs" dxfId="27" priority="20" operator="equal">
      <formula>"Best"</formula>
    </cfRule>
  </conditionalFormatting>
  <conditionalFormatting sqref="E3">
    <cfRule type="cellIs" dxfId="26" priority="17" operator="equal">
      <formula>"Worst"</formula>
    </cfRule>
    <cfRule type="cellIs" dxfId="25" priority="18" operator="equal">
      <formula>"Best"</formula>
    </cfRule>
  </conditionalFormatting>
  <conditionalFormatting sqref="G3">
    <cfRule type="cellIs" dxfId="24" priority="15" operator="equal">
      <formula>"Worst"</formula>
    </cfRule>
    <cfRule type="cellIs" dxfId="23" priority="16" operator="equal">
      <formula>"Best"</formula>
    </cfRule>
  </conditionalFormatting>
  <conditionalFormatting sqref="E8">
    <cfRule type="cellIs" dxfId="22" priority="3" operator="equal">
      <formula>"Worst"</formula>
    </cfRule>
    <cfRule type="cellIs" dxfId="21" priority="4" operator="equal">
      <formula>"Best"</formula>
    </cfRule>
  </conditionalFormatting>
  <conditionalFormatting sqref="E4">
    <cfRule type="cellIs" dxfId="20" priority="11" operator="equal">
      <formula>"Worst"</formula>
    </cfRule>
    <cfRule type="cellIs" dxfId="19" priority="12" operator="equal">
      <formula>"Best"</formula>
    </cfRule>
  </conditionalFormatting>
  <conditionalFormatting sqref="G4">
    <cfRule type="cellIs" dxfId="18" priority="9" operator="equal">
      <formula>"Worst"</formula>
    </cfRule>
    <cfRule type="cellIs" dxfId="17" priority="10" operator="equal">
      <formula>"Best"</formula>
    </cfRule>
  </conditionalFormatting>
  <conditionalFormatting sqref="E7">
    <cfRule type="cellIs" dxfId="16" priority="7" operator="equal">
      <formula>"Worst"</formula>
    </cfRule>
    <cfRule type="cellIs" dxfId="15" priority="8" operator="equal">
      <formula>"Best"</formula>
    </cfRule>
  </conditionalFormatting>
  <conditionalFormatting sqref="G7">
    <cfRule type="cellIs" dxfId="14" priority="5" operator="equal">
      <formula>"Worst"</formula>
    </cfRule>
    <cfRule type="cellIs" dxfId="13" priority="6" operator="equal">
      <formula>"Best"</formula>
    </cfRule>
  </conditionalFormatting>
  <conditionalFormatting sqref="G8">
    <cfRule type="cellIs" dxfId="12" priority="1" operator="equal">
      <formula>"Worst"</formula>
    </cfRule>
    <cfRule type="cellIs" dxfId="11" priority="2" operator="equal">
      <formula>"Best"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35"/>
  <sheetViews>
    <sheetView workbookViewId="0">
      <selection activeCell="G14" sqref="G14"/>
    </sheetView>
  </sheetViews>
  <sheetFormatPr defaultColWidth="11.5703125" defaultRowHeight="15"/>
  <cols>
    <col min="1" max="16384" width="11.5703125" style="1"/>
  </cols>
  <sheetData>
    <row r="1" spans="1:14" ht="15" customHeight="1" thickBot="1">
      <c r="B1" s="83"/>
      <c r="C1" s="83"/>
      <c r="D1" s="83"/>
      <c r="E1" s="83"/>
      <c r="F1" s="83"/>
      <c r="G1" s="123" t="s">
        <v>401</v>
      </c>
      <c r="H1" s="123"/>
      <c r="I1" s="123"/>
      <c r="J1" s="124"/>
      <c r="K1" s="125" t="s">
        <v>402</v>
      </c>
      <c r="L1" s="123"/>
      <c r="M1" s="126"/>
      <c r="N1" s="4" t="s">
        <v>99</v>
      </c>
    </row>
    <row r="2" spans="1:14" ht="16.149999999999999" customHeight="1">
      <c r="A2" s="4">
        <v>0</v>
      </c>
      <c r="B2" s="127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" t="s">
        <v>117</v>
      </c>
    </row>
    <row r="3" spans="1:14" ht="23.25">
      <c r="A3" s="4">
        <v>1</v>
      </c>
      <c r="B3" s="85" t="s">
        <v>403</v>
      </c>
      <c r="C3" s="86" t="s">
        <v>404</v>
      </c>
      <c r="D3" s="84"/>
      <c r="E3" s="86" t="s">
        <v>405</v>
      </c>
      <c r="F3" s="86" t="s">
        <v>406</v>
      </c>
      <c r="G3" s="87" t="s">
        <v>407</v>
      </c>
      <c r="H3" s="87" t="s">
        <v>408</v>
      </c>
      <c r="I3" s="87" t="s">
        <v>409</v>
      </c>
      <c r="J3" s="87" t="s">
        <v>410</v>
      </c>
      <c r="K3" s="88" t="s">
        <v>411</v>
      </c>
      <c r="L3" s="88" t="s">
        <v>412</v>
      </c>
      <c r="M3" s="88" t="s">
        <v>413</v>
      </c>
      <c r="N3" s="1" t="s">
        <v>114</v>
      </c>
    </row>
    <row r="4" spans="1:14" ht="30.75" thickBot="1">
      <c r="A4" s="4">
        <v>2</v>
      </c>
      <c r="B4" s="45">
        <v>1775</v>
      </c>
      <c r="C4" s="46">
        <v>13</v>
      </c>
      <c r="D4" s="47"/>
      <c r="E4" s="48" t="s">
        <v>314</v>
      </c>
      <c r="F4" s="49" t="s">
        <v>35</v>
      </c>
      <c r="G4" s="50" t="s">
        <v>116</v>
      </c>
      <c r="H4" s="51" t="s">
        <v>116</v>
      </c>
      <c r="I4" s="52">
        <v>0.98</v>
      </c>
      <c r="J4" s="89">
        <v>0.36</v>
      </c>
      <c r="K4" s="53"/>
      <c r="L4" s="54" t="s">
        <v>315</v>
      </c>
      <c r="M4" s="55" t="s">
        <v>316</v>
      </c>
      <c r="N4" s="1" t="s">
        <v>115</v>
      </c>
    </row>
    <row r="5" spans="1:14" ht="30.75" thickBot="1">
      <c r="A5" s="4">
        <v>3</v>
      </c>
      <c r="B5" s="45">
        <v>1670</v>
      </c>
      <c r="C5" s="46">
        <v>-13</v>
      </c>
      <c r="D5" s="47"/>
      <c r="E5" s="48" t="s">
        <v>317</v>
      </c>
      <c r="F5" s="49" t="s">
        <v>38</v>
      </c>
      <c r="G5" s="50" t="s">
        <v>116</v>
      </c>
      <c r="H5" s="90">
        <v>0.97</v>
      </c>
      <c r="I5" s="91">
        <v>0.15</v>
      </c>
      <c r="J5" s="92">
        <v>0.12</v>
      </c>
      <c r="K5" s="53"/>
      <c r="L5" s="54" t="s">
        <v>318</v>
      </c>
      <c r="M5" s="56" t="s">
        <v>319</v>
      </c>
      <c r="N5" s="1" t="s">
        <v>103</v>
      </c>
    </row>
    <row r="6" spans="1:14" ht="17.25" thickBot="1">
      <c r="A6" s="4">
        <v>4</v>
      </c>
      <c r="B6" s="45">
        <v>1650</v>
      </c>
      <c r="C6" s="46">
        <v>24</v>
      </c>
      <c r="D6" s="47"/>
      <c r="E6" s="48" t="s">
        <v>320</v>
      </c>
      <c r="F6" s="49" t="s">
        <v>32</v>
      </c>
      <c r="G6" s="50" t="s">
        <v>116</v>
      </c>
      <c r="H6" s="51" t="s">
        <v>116</v>
      </c>
      <c r="I6" s="57" t="s">
        <v>104</v>
      </c>
      <c r="J6" s="93">
        <v>7.0000000000000007E-2</v>
      </c>
      <c r="K6" s="53"/>
      <c r="L6" s="58" t="s">
        <v>321</v>
      </c>
      <c r="M6" s="55" t="s">
        <v>322</v>
      </c>
      <c r="N6" s="1" t="s">
        <v>112</v>
      </c>
    </row>
    <row r="7" spans="1:14" ht="30.75" thickBot="1">
      <c r="A7" s="4">
        <v>5</v>
      </c>
      <c r="B7" s="45">
        <v>1657</v>
      </c>
      <c r="C7" s="46">
        <v>5</v>
      </c>
      <c r="D7" s="47"/>
      <c r="E7" s="48" t="s">
        <v>323</v>
      </c>
      <c r="F7" s="49" t="s">
        <v>37</v>
      </c>
      <c r="G7" s="50" t="s">
        <v>116</v>
      </c>
      <c r="H7" s="51" t="s">
        <v>116</v>
      </c>
      <c r="I7" s="94">
        <v>0.78</v>
      </c>
      <c r="J7" s="95">
        <v>0.16</v>
      </c>
      <c r="K7" s="53"/>
      <c r="L7" s="54" t="s">
        <v>324</v>
      </c>
      <c r="M7" s="56" t="s">
        <v>325</v>
      </c>
      <c r="N7" s="1" t="s">
        <v>112</v>
      </c>
    </row>
    <row r="8" spans="1:14" ht="30.75" thickBot="1">
      <c r="A8" s="4">
        <v>6</v>
      </c>
      <c r="B8" s="45">
        <v>1631</v>
      </c>
      <c r="C8" s="46">
        <v>5</v>
      </c>
      <c r="D8" s="47"/>
      <c r="E8" s="48" t="s">
        <v>326</v>
      </c>
      <c r="F8" s="49" t="s">
        <v>33</v>
      </c>
      <c r="G8" s="96">
        <v>0.86</v>
      </c>
      <c r="H8" s="57" t="s">
        <v>113</v>
      </c>
      <c r="I8" s="57" t="s">
        <v>113</v>
      </c>
      <c r="J8" s="59">
        <v>0.03</v>
      </c>
      <c r="K8" s="53"/>
      <c r="L8" s="54" t="s">
        <v>327</v>
      </c>
      <c r="M8" s="56" t="s">
        <v>328</v>
      </c>
      <c r="N8" s="1" t="s">
        <v>102</v>
      </c>
    </row>
    <row r="9" spans="1:14" ht="30.75" thickBot="1">
      <c r="A9" s="4">
        <v>7</v>
      </c>
      <c r="B9" s="45">
        <v>1612</v>
      </c>
      <c r="C9" s="60"/>
      <c r="D9" s="47"/>
      <c r="E9" s="48" t="s">
        <v>329</v>
      </c>
      <c r="F9" s="49" t="s">
        <v>33</v>
      </c>
      <c r="G9" s="50" t="s">
        <v>116</v>
      </c>
      <c r="H9" s="97">
        <v>0.96</v>
      </c>
      <c r="I9" s="61">
        <v>0.02</v>
      </c>
      <c r="J9" s="98">
        <v>0.05</v>
      </c>
      <c r="K9" s="58" t="s">
        <v>328</v>
      </c>
      <c r="L9" s="54" t="s">
        <v>330</v>
      </c>
      <c r="M9" s="56" t="s">
        <v>331</v>
      </c>
      <c r="N9" s="1" t="s">
        <v>112</v>
      </c>
    </row>
    <row r="10" spans="1:14" ht="30.75" thickBot="1">
      <c r="A10" s="4">
        <v>8</v>
      </c>
      <c r="B10" s="45">
        <v>1608</v>
      </c>
      <c r="C10" s="46">
        <v>8</v>
      </c>
      <c r="D10" s="47"/>
      <c r="E10" s="48" t="s">
        <v>332</v>
      </c>
      <c r="F10" s="49" t="s">
        <v>34</v>
      </c>
      <c r="G10" s="99">
        <v>0.91</v>
      </c>
      <c r="H10" s="100">
        <v>0.42</v>
      </c>
      <c r="I10" s="57" t="s">
        <v>113</v>
      </c>
      <c r="J10" s="59">
        <v>0.03</v>
      </c>
      <c r="K10" s="53"/>
      <c r="L10" s="58" t="s">
        <v>333</v>
      </c>
      <c r="M10" s="55" t="s">
        <v>334</v>
      </c>
      <c r="N10" s="1" t="s">
        <v>100</v>
      </c>
    </row>
    <row r="11" spans="1:14" ht="30.75" thickBot="1">
      <c r="A11" s="4">
        <v>9</v>
      </c>
      <c r="B11" s="45">
        <v>1599</v>
      </c>
      <c r="C11" s="46">
        <v>15</v>
      </c>
      <c r="D11" s="47"/>
      <c r="E11" s="48" t="s">
        <v>335</v>
      </c>
      <c r="F11" s="49" t="s">
        <v>38</v>
      </c>
      <c r="G11" s="63">
        <v>0.98</v>
      </c>
      <c r="H11" s="101">
        <v>0.03</v>
      </c>
      <c r="I11" s="57" t="s">
        <v>104</v>
      </c>
      <c r="J11" s="102">
        <v>0.04</v>
      </c>
      <c r="K11" s="53"/>
      <c r="L11" s="58" t="s">
        <v>336</v>
      </c>
      <c r="M11" s="55" t="s">
        <v>315</v>
      </c>
      <c r="N11" s="1" t="s">
        <v>102</v>
      </c>
    </row>
    <row r="12" spans="1:14" ht="30.75" thickBot="1">
      <c r="A12" s="4">
        <v>10</v>
      </c>
      <c r="B12" s="45">
        <v>1612</v>
      </c>
      <c r="C12" s="46">
        <v>8</v>
      </c>
      <c r="D12" s="47"/>
      <c r="E12" s="48" t="s">
        <v>337</v>
      </c>
      <c r="F12" s="49" t="s">
        <v>34</v>
      </c>
      <c r="G12" s="103">
        <v>0.97</v>
      </c>
      <c r="H12" s="104">
        <v>0.57999999999999996</v>
      </c>
      <c r="I12" s="57" t="s">
        <v>113</v>
      </c>
      <c r="J12" s="105">
        <v>0.03</v>
      </c>
      <c r="K12" s="53"/>
      <c r="L12" s="58" t="s">
        <v>338</v>
      </c>
      <c r="M12" s="56" t="s">
        <v>339</v>
      </c>
      <c r="N12" s="1" t="s">
        <v>104</v>
      </c>
    </row>
    <row r="13" spans="1:14" ht="30.75" thickBot="1">
      <c r="A13" s="4">
        <v>11</v>
      </c>
      <c r="B13" s="45">
        <v>1539</v>
      </c>
      <c r="C13" s="46">
        <v>22</v>
      </c>
      <c r="D13" s="47"/>
      <c r="E13" s="48" t="s">
        <v>340</v>
      </c>
      <c r="F13" s="49" t="s">
        <v>33</v>
      </c>
      <c r="G13" s="106">
        <v>0.9</v>
      </c>
      <c r="H13" s="107">
        <v>0.04</v>
      </c>
      <c r="I13" s="57" t="s">
        <v>113</v>
      </c>
      <c r="J13" s="108" t="s">
        <v>104</v>
      </c>
      <c r="K13" s="53"/>
      <c r="L13" s="58" t="s">
        <v>341</v>
      </c>
      <c r="M13" s="55" t="s">
        <v>342</v>
      </c>
      <c r="N13" s="1" t="s">
        <v>104</v>
      </c>
    </row>
    <row r="14" spans="1:14" ht="30.75" thickBot="1">
      <c r="A14" s="4">
        <v>12</v>
      </c>
      <c r="B14" s="45">
        <v>1598</v>
      </c>
      <c r="C14" s="46">
        <v>16</v>
      </c>
      <c r="D14" s="47"/>
      <c r="E14" s="48" t="s">
        <v>343</v>
      </c>
      <c r="F14" s="49" t="s">
        <v>39</v>
      </c>
      <c r="G14" s="50" t="s">
        <v>116</v>
      </c>
      <c r="H14" s="109">
        <v>0.67</v>
      </c>
      <c r="I14" s="110">
        <v>0.05</v>
      </c>
      <c r="J14" s="62">
        <v>0.05</v>
      </c>
      <c r="K14" s="53"/>
      <c r="L14" s="54" t="s">
        <v>344</v>
      </c>
      <c r="M14" s="56" t="s">
        <v>345</v>
      </c>
      <c r="N14" s="1" t="s">
        <v>101</v>
      </c>
    </row>
    <row r="15" spans="1:14" ht="30.75" thickBot="1">
      <c r="A15" s="4">
        <v>13</v>
      </c>
      <c r="B15" s="45">
        <v>1593</v>
      </c>
      <c r="C15" s="46">
        <v>-32</v>
      </c>
      <c r="D15" s="47"/>
      <c r="E15" s="48" t="s">
        <v>346</v>
      </c>
      <c r="F15" s="49" t="s">
        <v>39</v>
      </c>
      <c r="G15" s="111">
        <v>0.98</v>
      </c>
      <c r="H15" s="112">
        <v>0.33</v>
      </c>
      <c r="I15" s="64">
        <v>0.02</v>
      </c>
      <c r="J15" s="113">
        <v>0.03</v>
      </c>
      <c r="K15" s="53"/>
      <c r="L15" s="58" t="s">
        <v>347</v>
      </c>
      <c r="M15" s="55" t="s">
        <v>348</v>
      </c>
      <c r="N15" s="1" t="s">
        <v>104</v>
      </c>
    </row>
    <row r="16" spans="1:14" ht="30.75" thickBot="1">
      <c r="A16" s="4">
        <v>14</v>
      </c>
      <c r="B16" s="45">
        <v>1522</v>
      </c>
      <c r="C16" s="46">
        <v>13</v>
      </c>
      <c r="D16" s="47"/>
      <c r="E16" s="48" t="s">
        <v>349</v>
      </c>
      <c r="F16" s="49" t="s">
        <v>39</v>
      </c>
      <c r="G16" s="114">
        <v>0.68</v>
      </c>
      <c r="H16" s="57" t="s">
        <v>113</v>
      </c>
      <c r="I16" s="57" t="s">
        <v>113</v>
      </c>
      <c r="J16" s="65" t="s">
        <v>104</v>
      </c>
      <c r="K16" s="53"/>
      <c r="L16" s="54" t="s">
        <v>350</v>
      </c>
      <c r="M16" s="56" t="s">
        <v>351</v>
      </c>
      <c r="N16" s="1" t="s">
        <v>102</v>
      </c>
    </row>
    <row r="17" spans="1:14" ht="17.25" thickBot="1">
      <c r="A17" s="4">
        <v>15</v>
      </c>
      <c r="B17" s="45">
        <v>1556</v>
      </c>
      <c r="C17" s="46">
        <v>19</v>
      </c>
      <c r="D17" s="47"/>
      <c r="E17" s="48" t="s">
        <v>352</v>
      </c>
      <c r="F17" s="49" t="s">
        <v>32</v>
      </c>
      <c r="G17" s="115">
        <v>0.35</v>
      </c>
      <c r="H17" s="57" t="s">
        <v>113</v>
      </c>
      <c r="I17" s="57" t="s">
        <v>113</v>
      </c>
      <c r="J17" s="66" t="s">
        <v>104</v>
      </c>
      <c r="K17" s="53"/>
      <c r="L17" s="58" t="s">
        <v>353</v>
      </c>
      <c r="M17" s="56" t="s">
        <v>354</v>
      </c>
      <c r="N17" s="1" t="s">
        <v>102</v>
      </c>
    </row>
    <row r="18" spans="1:14" ht="30.75" thickBot="1">
      <c r="A18" s="4">
        <v>16</v>
      </c>
      <c r="B18" s="45">
        <v>1504</v>
      </c>
      <c r="C18" s="46">
        <v>26</v>
      </c>
      <c r="D18" s="47"/>
      <c r="E18" s="48" t="s">
        <v>355</v>
      </c>
      <c r="F18" s="49" t="s">
        <v>37</v>
      </c>
      <c r="G18" s="116">
        <v>0.34</v>
      </c>
      <c r="H18" s="57" t="s">
        <v>113</v>
      </c>
      <c r="I18" s="57" t="s">
        <v>113</v>
      </c>
      <c r="J18" s="66" t="s">
        <v>104</v>
      </c>
      <c r="K18" s="53"/>
      <c r="L18" s="58" t="s">
        <v>356</v>
      </c>
      <c r="M18" s="55" t="s">
        <v>357</v>
      </c>
      <c r="N18" s="1" t="s">
        <v>104</v>
      </c>
    </row>
    <row r="19" spans="1:14" ht="17.25" thickBot="1">
      <c r="A19" s="4">
        <v>17</v>
      </c>
      <c r="B19" s="45">
        <v>1515</v>
      </c>
      <c r="C19" s="46">
        <v>-19</v>
      </c>
      <c r="D19" s="47"/>
      <c r="E19" s="48" t="s">
        <v>358</v>
      </c>
      <c r="F19" s="49" t="s">
        <v>32</v>
      </c>
      <c r="G19" s="67" t="s">
        <v>113</v>
      </c>
      <c r="H19" s="57" t="s">
        <v>113</v>
      </c>
      <c r="I19" s="57" t="s">
        <v>113</v>
      </c>
      <c r="J19" s="68" t="s">
        <v>113</v>
      </c>
      <c r="K19" s="53"/>
      <c r="L19" s="54" t="s">
        <v>359</v>
      </c>
      <c r="M19" s="55" t="s">
        <v>360</v>
      </c>
      <c r="N19" s="1" t="s">
        <v>104</v>
      </c>
    </row>
    <row r="20" spans="1:14" ht="30.75" thickBot="1">
      <c r="A20" s="4">
        <v>18</v>
      </c>
      <c r="B20" s="45">
        <v>1492</v>
      </c>
      <c r="C20" s="46">
        <v>-26</v>
      </c>
      <c r="D20" s="47"/>
      <c r="E20" s="48" t="s">
        <v>361</v>
      </c>
      <c r="F20" s="49" t="s">
        <v>37</v>
      </c>
      <c r="G20" s="69">
        <v>0.02</v>
      </c>
      <c r="H20" s="57" t="s">
        <v>113</v>
      </c>
      <c r="I20" s="57" t="s">
        <v>113</v>
      </c>
      <c r="J20" s="68" t="s">
        <v>104</v>
      </c>
      <c r="K20" s="53"/>
      <c r="L20" s="58" t="s">
        <v>362</v>
      </c>
      <c r="M20" s="56" t="s">
        <v>336</v>
      </c>
      <c r="N20" s="1" t="s">
        <v>104</v>
      </c>
    </row>
    <row r="21" spans="1:14" ht="17.25" thickBot="1">
      <c r="A21" s="4">
        <v>19</v>
      </c>
      <c r="B21" s="45">
        <v>1466</v>
      </c>
      <c r="C21" s="46">
        <v>-16</v>
      </c>
      <c r="D21" s="47"/>
      <c r="E21" s="48" t="s">
        <v>363</v>
      </c>
      <c r="F21" s="49" t="s">
        <v>36</v>
      </c>
      <c r="G21" s="117">
        <v>0.78</v>
      </c>
      <c r="H21" s="118">
        <v>0.78</v>
      </c>
      <c r="I21" s="57" t="s">
        <v>113</v>
      </c>
      <c r="J21" s="66" t="s">
        <v>104</v>
      </c>
      <c r="K21" s="53"/>
      <c r="L21" s="54" t="s">
        <v>364</v>
      </c>
      <c r="M21" s="56" t="s">
        <v>365</v>
      </c>
      <c r="N21" s="1" t="s">
        <v>104</v>
      </c>
    </row>
    <row r="22" spans="1:14" ht="30.75" thickBot="1">
      <c r="A22" s="4">
        <v>20</v>
      </c>
      <c r="B22" s="45">
        <v>1464</v>
      </c>
      <c r="C22" s="46">
        <v>-24</v>
      </c>
      <c r="D22" s="47"/>
      <c r="E22" s="48" t="s">
        <v>366</v>
      </c>
      <c r="F22" s="49" t="s">
        <v>39</v>
      </c>
      <c r="G22" s="67" t="s">
        <v>113</v>
      </c>
      <c r="H22" s="57" t="s">
        <v>113</v>
      </c>
      <c r="I22" s="57" t="s">
        <v>113</v>
      </c>
      <c r="J22" s="68" t="s">
        <v>113</v>
      </c>
      <c r="K22" s="53"/>
      <c r="L22" s="58" t="s">
        <v>367</v>
      </c>
      <c r="M22" s="55" t="s">
        <v>368</v>
      </c>
      <c r="N22" s="1" t="s">
        <v>101</v>
      </c>
    </row>
    <row r="23" spans="1:14" ht="30.75" thickBot="1">
      <c r="A23" s="4">
        <v>21</v>
      </c>
      <c r="B23" s="45">
        <v>1442</v>
      </c>
      <c r="C23" s="46">
        <v>-24</v>
      </c>
      <c r="D23" s="47"/>
      <c r="E23" s="48" t="s">
        <v>369</v>
      </c>
      <c r="F23" s="49" t="s">
        <v>35</v>
      </c>
      <c r="G23" s="67" t="s">
        <v>113</v>
      </c>
      <c r="H23" s="57" t="s">
        <v>113</v>
      </c>
      <c r="I23" s="57" t="s">
        <v>113</v>
      </c>
      <c r="J23" s="68" t="s">
        <v>113</v>
      </c>
      <c r="K23" s="53"/>
      <c r="L23" s="58" t="s">
        <v>370</v>
      </c>
      <c r="M23" s="55" t="s">
        <v>371</v>
      </c>
      <c r="N23" s="1" t="s">
        <v>104</v>
      </c>
    </row>
    <row r="24" spans="1:14" ht="30.75" thickBot="1">
      <c r="A24" s="4">
        <v>22</v>
      </c>
      <c r="B24" s="45">
        <v>1455</v>
      </c>
      <c r="C24" s="46">
        <v>-21</v>
      </c>
      <c r="D24" s="47"/>
      <c r="E24" s="48" t="s">
        <v>372</v>
      </c>
      <c r="F24" s="49" t="s">
        <v>35</v>
      </c>
      <c r="G24" s="70" t="s">
        <v>104</v>
      </c>
      <c r="H24" s="57" t="s">
        <v>113</v>
      </c>
      <c r="I24" s="57" t="s">
        <v>113</v>
      </c>
      <c r="J24" s="68" t="s">
        <v>104</v>
      </c>
      <c r="K24" s="53"/>
      <c r="L24" s="54" t="s">
        <v>322</v>
      </c>
      <c r="M24" s="56" t="s">
        <v>373</v>
      </c>
      <c r="N24" s="1" t="s">
        <v>104</v>
      </c>
    </row>
    <row r="25" spans="1:14" ht="30.75" thickBot="1">
      <c r="A25" s="4">
        <v>23</v>
      </c>
      <c r="B25" s="45">
        <v>1490</v>
      </c>
      <c r="C25" s="46">
        <v>-15</v>
      </c>
      <c r="D25" s="47"/>
      <c r="E25" s="48" t="s">
        <v>374</v>
      </c>
      <c r="F25" s="49" t="s">
        <v>38</v>
      </c>
      <c r="G25" s="67" t="s">
        <v>113</v>
      </c>
      <c r="H25" s="57" t="s">
        <v>113</v>
      </c>
      <c r="I25" s="57" t="s">
        <v>113</v>
      </c>
      <c r="J25" s="68" t="s">
        <v>113</v>
      </c>
      <c r="K25" s="53"/>
      <c r="L25" s="58" t="s">
        <v>375</v>
      </c>
      <c r="M25" s="56" t="s">
        <v>376</v>
      </c>
      <c r="N25" s="1" t="s">
        <v>104</v>
      </c>
    </row>
    <row r="26" spans="1:14" ht="17.25" thickBot="1">
      <c r="A26" s="4">
        <v>24</v>
      </c>
      <c r="B26" s="45">
        <v>1435</v>
      </c>
      <c r="C26" s="46">
        <v>-13</v>
      </c>
      <c r="D26" s="47"/>
      <c r="E26" s="48" t="s">
        <v>377</v>
      </c>
      <c r="F26" s="49" t="s">
        <v>36</v>
      </c>
      <c r="G26" s="119">
        <v>0.08</v>
      </c>
      <c r="H26" s="120">
        <v>0.08</v>
      </c>
      <c r="I26" s="57" t="s">
        <v>113</v>
      </c>
      <c r="J26" s="68" t="s">
        <v>104</v>
      </c>
      <c r="K26" s="53"/>
      <c r="L26" s="58" t="s">
        <v>378</v>
      </c>
      <c r="M26" s="55" t="s">
        <v>379</v>
      </c>
      <c r="N26" s="1" t="s">
        <v>104</v>
      </c>
    </row>
    <row r="27" spans="1:14" ht="30.75" thickBot="1">
      <c r="A27" s="4">
        <v>25</v>
      </c>
      <c r="B27" s="45">
        <v>1386</v>
      </c>
      <c r="C27" s="46">
        <v>-5</v>
      </c>
      <c r="D27" s="47"/>
      <c r="E27" s="48" t="s">
        <v>380</v>
      </c>
      <c r="F27" s="49" t="s">
        <v>38</v>
      </c>
      <c r="G27" s="67" t="s">
        <v>113</v>
      </c>
      <c r="H27" s="57" t="s">
        <v>113</v>
      </c>
      <c r="I27" s="57" t="s">
        <v>113</v>
      </c>
      <c r="J27" s="68" t="s">
        <v>113</v>
      </c>
      <c r="K27" s="53"/>
      <c r="L27" s="58" t="s">
        <v>381</v>
      </c>
      <c r="M27" s="55" t="s">
        <v>382</v>
      </c>
      <c r="N27" s="1" t="s">
        <v>104</v>
      </c>
    </row>
    <row r="28" spans="1:14" ht="30.75" thickBot="1">
      <c r="A28" s="4">
        <v>26</v>
      </c>
      <c r="B28" s="45">
        <v>1416</v>
      </c>
      <c r="C28" s="46">
        <v>21</v>
      </c>
      <c r="D28" s="47"/>
      <c r="E28" s="48" t="s">
        <v>383</v>
      </c>
      <c r="F28" s="49" t="s">
        <v>35</v>
      </c>
      <c r="G28" s="67" t="s">
        <v>113</v>
      </c>
      <c r="H28" s="57" t="s">
        <v>113</v>
      </c>
      <c r="I28" s="57" t="s">
        <v>113</v>
      </c>
      <c r="J28" s="68" t="s">
        <v>113</v>
      </c>
      <c r="K28" s="53"/>
      <c r="L28" s="54" t="s">
        <v>384</v>
      </c>
      <c r="M28" s="56" t="s">
        <v>375</v>
      </c>
      <c r="N28" s="1" t="s">
        <v>113</v>
      </c>
    </row>
    <row r="29" spans="1:14" ht="30.75" thickBot="1">
      <c r="A29" s="4">
        <v>27</v>
      </c>
      <c r="B29" s="45">
        <v>1435</v>
      </c>
      <c r="C29" s="46">
        <v>-8</v>
      </c>
      <c r="D29" s="47"/>
      <c r="E29" s="48" t="s">
        <v>385</v>
      </c>
      <c r="F29" s="49" t="s">
        <v>34</v>
      </c>
      <c r="G29" s="67" t="s">
        <v>113</v>
      </c>
      <c r="H29" s="57" t="s">
        <v>113</v>
      </c>
      <c r="I29" s="57" t="s">
        <v>113</v>
      </c>
      <c r="J29" s="68" t="s">
        <v>113</v>
      </c>
      <c r="K29" s="53"/>
      <c r="L29" s="54" t="s">
        <v>386</v>
      </c>
      <c r="M29" s="55" t="s">
        <v>324</v>
      </c>
      <c r="N29" s="1" t="s">
        <v>113</v>
      </c>
    </row>
    <row r="30" spans="1:14" ht="17.25" thickBot="1">
      <c r="A30" s="4">
        <v>28</v>
      </c>
      <c r="B30" s="45">
        <v>1417</v>
      </c>
      <c r="C30" s="46">
        <v>24</v>
      </c>
      <c r="D30" s="47"/>
      <c r="E30" s="48" t="s">
        <v>387</v>
      </c>
      <c r="F30" s="49" t="s">
        <v>36</v>
      </c>
      <c r="G30" s="73">
        <v>0.05</v>
      </c>
      <c r="H30" s="74">
        <v>0.05</v>
      </c>
      <c r="I30" s="57" t="s">
        <v>113</v>
      </c>
      <c r="J30" s="68" t="s">
        <v>104</v>
      </c>
      <c r="K30" s="53"/>
      <c r="L30" s="54" t="s">
        <v>388</v>
      </c>
      <c r="M30" s="56" t="s">
        <v>389</v>
      </c>
      <c r="N30" s="1" t="s">
        <v>113</v>
      </c>
    </row>
    <row r="31" spans="1:14" ht="17.25" thickBot="1">
      <c r="A31" s="4">
        <v>29</v>
      </c>
      <c r="B31" s="45">
        <v>1375</v>
      </c>
      <c r="C31" s="46">
        <v>-22</v>
      </c>
      <c r="D31" s="47"/>
      <c r="E31" s="48" t="s">
        <v>390</v>
      </c>
      <c r="F31" s="49" t="s">
        <v>36</v>
      </c>
      <c r="G31" s="71">
        <v>0.1</v>
      </c>
      <c r="H31" s="72">
        <v>0.1</v>
      </c>
      <c r="I31" s="57" t="s">
        <v>113</v>
      </c>
      <c r="J31" s="68" t="s">
        <v>104</v>
      </c>
      <c r="K31" s="53"/>
      <c r="L31" s="58" t="s">
        <v>391</v>
      </c>
      <c r="M31" s="55" t="s">
        <v>392</v>
      </c>
      <c r="N31" s="1" t="s">
        <v>113</v>
      </c>
    </row>
    <row r="32" spans="1:14" ht="30.75" thickBot="1">
      <c r="A32" s="4">
        <v>30</v>
      </c>
      <c r="B32" s="45">
        <v>1360</v>
      </c>
      <c r="C32" s="46">
        <v>-8</v>
      </c>
      <c r="D32" s="47"/>
      <c r="E32" s="48" t="s">
        <v>393</v>
      </c>
      <c r="F32" s="49" t="s">
        <v>37</v>
      </c>
      <c r="G32" s="67" t="s">
        <v>113</v>
      </c>
      <c r="H32" s="57" t="s">
        <v>113</v>
      </c>
      <c r="I32" s="57" t="s">
        <v>113</v>
      </c>
      <c r="J32" s="68" t="s">
        <v>113</v>
      </c>
      <c r="K32" s="53"/>
      <c r="L32" s="54" t="s">
        <v>394</v>
      </c>
      <c r="M32" s="55" t="s">
        <v>318</v>
      </c>
      <c r="N32" s="1" t="s">
        <v>113</v>
      </c>
    </row>
    <row r="33" spans="1:14" ht="30.75" thickBot="1">
      <c r="A33" s="4">
        <v>31</v>
      </c>
      <c r="B33" s="45">
        <v>1277</v>
      </c>
      <c r="C33" s="46">
        <v>-5</v>
      </c>
      <c r="D33" s="47"/>
      <c r="E33" s="48" t="s">
        <v>395</v>
      </c>
      <c r="F33" s="49" t="s">
        <v>34</v>
      </c>
      <c r="G33" s="67" t="s">
        <v>113</v>
      </c>
      <c r="H33" s="57" t="s">
        <v>113</v>
      </c>
      <c r="I33" s="57" t="s">
        <v>113</v>
      </c>
      <c r="J33" s="68" t="s">
        <v>113</v>
      </c>
      <c r="K33" s="53"/>
      <c r="L33" s="54" t="s">
        <v>396</v>
      </c>
      <c r="M33" s="56" t="s">
        <v>397</v>
      </c>
      <c r="N33" s="1" t="s">
        <v>113</v>
      </c>
    </row>
    <row r="34" spans="1:14" ht="17.25" thickBot="1">
      <c r="B34" s="45">
        <v>1298</v>
      </c>
      <c r="C34" s="46">
        <v>32</v>
      </c>
      <c r="D34" s="47"/>
      <c r="E34" s="48" t="s">
        <v>398</v>
      </c>
      <c r="F34" s="49" t="s">
        <v>32</v>
      </c>
      <c r="G34" s="67" t="s">
        <v>113</v>
      </c>
      <c r="H34" s="57" t="s">
        <v>113</v>
      </c>
      <c r="I34" s="57" t="s">
        <v>113</v>
      </c>
      <c r="J34" s="68" t="s">
        <v>113</v>
      </c>
      <c r="K34" s="53"/>
      <c r="L34" s="54" t="s">
        <v>399</v>
      </c>
      <c r="M34" s="56" t="s">
        <v>321</v>
      </c>
    </row>
    <row r="35" spans="1:14" ht="30">
      <c r="B35" s="75">
        <v>1310</v>
      </c>
      <c r="C35" s="76"/>
      <c r="D35" s="77"/>
      <c r="E35" s="78" t="s">
        <v>400</v>
      </c>
      <c r="F35" s="79" t="s">
        <v>33</v>
      </c>
      <c r="G35" s="80" t="s">
        <v>113</v>
      </c>
      <c r="H35" s="81" t="s">
        <v>113</v>
      </c>
      <c r="I35" s="81" t="s">
        <v>113</v>
      </c>
      <c r="J35" s="82" t="s">
        <v>113</v>
      </c>
      <c r="K35" s="44"/>
      <c r="L35" s="44"/>
      <c r="M35" s="44"/>
    </row>
  </sheetData>
  <mergeCells count="3">
    <mergeCell ref="G1:J1"/>
    <mergeCell ref="K1:M1"/>
    <mergeCell ref="B2:M2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Standings</vt:lpstr>
      <vt:lpstr>Next X weeks</vt:lpstr>
      <vt:lpstr>Draft</vt:lpstr>
      <vt:lpstr>2020Payments</vt:lpstr>
      <vt:lpstr>Projections</vt:lpstr>
      <vt:lpstr>FoxSports Standings</vt:lpstr>
      <vt:lpstr>Sheet3</vt:lpstr>
      <vt:lpstr>538Data</vt:lpstr>
      <vt:lpstr>Standings!Print_Area</vt:lpstr>
      <vt:lpstr>'FoxSports Standings'!standings?year_season_2012_type_regular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Fischer</dc:creator>
  <cp:lastModifiedBy>Thomas Fischer</cp:lastModifiedBy>
  <cp:lastPrinted>2021-12-15T02:31:47Z</cp:lastPrinted>
  <dcterms:created xsi:type="dcterms:W3CDTF">2013-07-26T23:25:09Z</dcterms:created>
  <dcterms:modified xsi:type="dcterms:W3CDTF">2021-12-15T02:31:50Z</dcterms:modified>
</cp:coreProperties>
</file>