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 (1)\Gambling\WinsPool\"/>
    </mc:Choice>
  </mc:AlternateContent>
  <xr:revisionPtr revIDLastSave="0" documentId="13_ncr:1_{FA908800-2EDF-42B6-9D03-C31CDE1FB48E}" xr6:coauthVersionLast="47" xr6:coauthVersionMax="47" xr10:uidLastSave="{00000000-0000-0000-0000-000000000000}"/>
  <bookViews>
    <workbookView xWindow="14295" yWindow="0" windowWidth="14610" windowHeight="17385" activeTab="1" xr2:uid="{00000000-000D-0000-FFFF-FFFF00000000}"/>
  </bookViews>
  <sheets>
    <sheet name="Sheet1" sheetId="1" r:id="rId1"/>
    <sheet name="Draft" sheetId="2" r:id="rId2"/>
    <sheet name="DraftOrder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tvBcUSTExmBJS67+Zko28L4HCcQ=="/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X42" i="2"/>
  <c r="X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G4" i="2"/>
  <c r="H4" i="2"/>
  <c r="I4" i="2"/>
  <c r="J4" i="2"/>
  <c r="K4" i="2"/>
  <c r="L4" i="2"/>
  <c r="M4" i="2"/>
  <c r="N4" i="2"/>
  <c r="O4" i="2"/>
  <c r="P4" i="2"/>
  <c r="G5" i="2"/>
  <c r="H5" i="2"/>
  <c r="I5" i="2"/>
  <c r="J5" i="2"/>
  <c r="K5" i="2"/>
  <c r="L5" i="2"/>
  <c r="M5" i="2"/>
  <c r="N5" i="2"/>
  <c r="O5" i="2"/>
  <c r="P5" i="2"/>
  <c r="G6" i="2"/>
  <c r="H6" i="2"/>
  <c r="I6" i="2"/>
  <c r="J6" i="2"/>
  <c r="K6" i="2"/>
  <c r="L6" i="2"/>
  <c r="M6" i="2"/>
  <c r="N6" i="2"/>
  <c r="O6" i="2"/>
  <c r="P6" i="2"/>
  <c r="G7" i="2"/>
  <c r="H7" i="2"/>
  <c r="I7" i="2"/>
  <c r="J7" i="2"/>
  <c r="K7" i="2"/>
  <c r="L7" i="2"/>
  <c r="M7" i="2"/>
  <c r="N7" i="2"/>
  <c r="O7" i="2"/>
  <c r="P7" i="2"/>
  <c r="G8" i="2"/>
  <c r="H8" i="2"/>
  <c r="I8" i="2"/>
  <c r="J8" i="2"/>
  <c r="K8" i="2"/>
  <c r="L8" i="2"/>
  <c r="M8" i="2"/>
  <c r="N8" i="2"/>
  <c r="O8" i="2"/>
  <c r="P8" i="2"/>
  <c r="G9" i="2"/>
  <c r="H9" i="2"/>
  <c r="I9" i="2"/>
  <c r="J9" i="2"/>
  <c r="K9" i="2"/>
  <c r="L9" i="2"/>
  <c r="M9" i="2"/>
  <c r="N9" i="2"/>
  <c r="O9" i="2"/>
  <c r="P9" i="2"/>
  <c r="G10" i="2"/>
  <c r="H10" i="2"/>
  <c r="I10" i="2"/>
  <c r="J10" i="2"/>
  <c r="K10" i="2"/>
  <c r="L10" i="2"/>
  <c r="M10" i="2"/>
  <c r="N10" i="2"/>
  <c r="O10" i="2"/>
  <c r="P10" i="2"/>
  <c r="G11" i="2"/>
  <c r="H11" i="2"/>
  <c r="I11" i="2"/>
  <c r="J11" i="2"/>
  <c r="K11" i="2"/>
  <c r="L11" i="2"/>
  <c r="M11" i="2"/>
  <c r="N11" i="2"/>
  <c r="O11" i="2"/>
  <c r="P11" i="2"/>
  <c r="G12" i="2"/>
  <c r="H12" i="2"/>
  <c r="I12" i="2"/>
  <c r="J12" i="2"/>
  <c r="K12" i="2"/>
  <c r="L12" i="2"/>
  <c r="M12" i="2"/>
  <c r="N12" i="2"/>
  <c r="O12" i="2"/>
  <c r="P12" i="2"/>
  <c r="G13" i="2"/>
  <c r="H13" i="2"/>
  <c r="I13" i="2"/>
  <c r="J13" i="2"/>
  <c r="K13" i="2"/>
  <c r="L13" i="2"/>
  <c r="M13" i="2"/>
  <c r="N13" i="2"/>
  <c r="O13" i="2"/>
  <c r="P13" i="2"/>
  <c r="G14" i="2"/>
  <c r="H14" i="2"/>
  <c r="I14" i="2"/>
  <c r="J14" i="2"/>
  <c r="K14" i="2"/>
  <c r="L14" i="2"/>
  <c r="M14" i="2"/>
  <c r="N14" i="2"/>
  <c r="O14" i="2"/>
  <c r="P14" i="2"/>
  <c r="G15" i="2"/>
  <c r="H15" i="2"/>
  <c r="I15" i="2"/>
  <c r="J15" i="2"/>
  <c r="K15" i="2"/>
  <c r="L15" i="2"/>
  <c r="M15" i="2"/>
  <c r="N15" i="2"/>
  <c r="O15" i="2"/>
  <c r="P15" i="2"/>
  <c r="G16" i="2"/>
  <c r="H16" i="2"/>
  <c r="I16" i="2"/>
  <c r="J16" i="2"/>
  <c r="K16" i="2"/>
  <c r="L16" i="2"/>
  <c r="M16" i="2"/>
  <c r="N16" i="2"/>
  <c r="O16" i="2"/>
  <c r="P16" i="2"/>
  <c r="G17" i="2"/>
  <c r="H17" i="2"/>
  <c r="I17" i="2"/>
  <c r="J17" i="2"/>
  <c r="K17" i="2"/>
  <c r="L17" i="2"/>
  <c r="M17" i="2"/>
  <c r="N17" i="2"/>
  <c r="O17" i="2"/>
  <c r="P17" i="2"/>
  <c r="G18" i="2"/>
  <c r="H18" i="2"/>
  <c r="I18" i="2"/>
  <c r="J18" i="2"/>
  <c r="K18" i="2"/>
  <c r="L18" i="2"/>
  <c r="M18" i="2"/>
  <c r="N18" i="2"/>
  <c r="O18" i="2"/>
  <c r="P18" i="2"/>
  <c r="G19" i="2"/>
  <c r="H19" i="2"/>
  <c r="I19" i="2"/>
  <c r="J19" i="2"/>
  <c r="K19" i="2"/>
  <c r="L19" i="2"/>
  <c r="M19" i="2"/>
  <c r="N19" i="2"/>
  <c r="O19" i="2"/>
  <c r="P19" i="2"/>
  <c r="G20" i="2"/>
  <c r="H20" i="2"/>
  <c r="I20" i="2"/>
  <c r="J20" i="2"/>
  <c r="K20" i="2"/>
  <c r="L20" i="2"/>
  <c r="M20" i="2"/>
  <c r="N20" i="2"/>
  <c r="O20" i="2"/>
  <c r="P20" i="2"/>
  <c r="G21" i="2"/>
  <c r="H21" i="2"/>
  <c r="I21" i="2"/>
  <c r="J21" i="2"/>
  <c r="K21" i="2"/>
  <c r="L21" i="2"/>
  <c r="M21" i="2"/>
  <c r="N21" i="2"/>
  <c r="O21" i="2"/>
  <c r="P21" i="2"/>
  <c r="G22" i="2"/>
  <c r="H22" i="2"/>
  <c r="I22" i="2"/>
  <c r="J22" i="2"/>
  <c r="K22" i="2"/>
  <c r="L22" i="2"/>
  <c r="M22" i="2"/>
  <c r="N22" i="2"/>
  <c r="O22" i="2"/>
  <c r="P22" i="2"/>
  <c r="G23" i="2"/>
  <c r="H23" i="2"/>
  <c r="I23" i="2"/>
  <c r="J23" i="2"/>
  <c r="K23" i="2"/>
  <c r="L23" i="2"/>
  <c r="M23" i="2"/>
  <c r="N23" i="2"/>
  <c r="O23" i="2"/>
  <c r="P23" i="2"/>
  <c r="G24" i="2"/>
  <c r="H24" i="2"/>
  <c r="I24" i="2"/>
  <c r="J24" i="2"/>
  <c r="K24" i="2"/>
  <c r="L24" i="2"/>
  <c r="M24" i="2"/>
  <c r="N24" i="2"/>
  <c r="O24" i="2"/>
  <c r="P24" i="2"/>
  <c r="G25" i="2"/>
  <c r="H25" i="2"/>
  <c r="I25" i="2"/>
  <c r="J25" i="2"/>
  <c r="K25" i="2"/>
  <c r="L25" i="2"/>
  <c r="M25" i="2"/>
  <c r="N25" i="2"/>
  <c r="O25" i="2"/>
  <c r="P25" i="2"/>
  <c r="G26" i="2"/>
  <c r="H26" i="2"/>
  <c r="I26" i="2"/>
  <c r="J26" i="2"/>
  <c r="K26" i="2"/>
  <c r="L26" i="2"/>
  <c r="M26" i="2"/>
  <c r="N26" i="2"/>
  <c r="O26" i="2"/>
  <c r="P26" i="2"/>
  <c r="G27" i="2"/>
  <c r="H27" i="2"/>
  <c r="I27" i="2"/>
  <c r="J27" i="2"/>
  <c r="K27" i="2"/>
  <c r="L27" i="2"/>
  <c r="M27" i="2"/>
  <c r="N27" i="2"/>
  <c r="O27" i="2"/>
  <c r="P27" i="2"/>
  <c r="G28" i="2"/>
  <c r="H28" i="2"/>
  <c r="I28" i="2"/>
  <c r="J28" i="2"/>
  <c r="K28" i="2"/>
  <c r="L28" i="2"/>
  <c r="M28" i="2"/>
  <c r="N28" i="2"/>
  <c r="O28" i="2"/>
  <c r="P28" i="2"/>
  <c r="G29" i="2"/>
  <c r="H29" i="2"/>
  <c r="I29" i="2"/>
  <c r="J29" i="2"/>
  <c r="K29" i="2"/>
  <c r="L29" i="2"/>
  <c r="M29" i="2"/>
  <c r="N29" i="2"/>
  <c r="O29" i="2"/>
  <c r="P29" i="2"/>
  <c r="G30" i="2"/>
  <c r="H30" i="2"/>
  <c r="I30" i="2"/>
  <c r="J30" i="2"/>
  <c r="K30" i="2"/>
  <c r="L30" i="2"/>
  <c r="M30" i="2"/>
  <c r="N30" i="2"/>
  <c r="O30" i="2"/>
  <c r="P30" i="2"/>
  <c r="G31" i="2"/>
  <c r="H31" i="2"/>
  <c r="I31" i="2"/>
  <c r="J31" i="2"/>
  <c r="K31" i="2"/>
  <c r="L31" i="2"/>
  <c r="M31" i="2"/>
  <c r="N31" i="2"/>
  <c r="O31" i="2"/>
  <c r="P31" i="2"/>
  <c r="G32" i="2"/>
  <c r="H32" i="2"/>
  <c r="I32" i="2"/>
  <c r="J32" i="2"/>
  <c r="K32" i="2"/>
  <c r="L32" i="2"/>
  <c r="M32" i="2"/>
  <c r="N32" i="2"/>
  <c r="O32" i="2"/>
  <c r="P32" i="2"/>
  <c r="G3" i="2"/>
  <c r="H3" i="2"/>
  <c r="I3" i="2"/>
  <c r="J3" i="2"/>
  <c r="K3" i="2"/>
  <c r="L3" i="2"/>
  <c r="M3" i="2"/>
  <c r="N3" i="2"/>
  <c r="O3" i="2"/>
  <c r="P3" i="2"/>
  <c r="E41" i="2" l="1"/>
  <c r="E45" i="2"/>
  <c r="E46" i="2"/>
  <c r="E43" i="2"/>
  <c r="E52" i="2"/>
  <c r="E44" i="2"/>
  <c r="E42" i="2"/>
  <c r="E50" i="2"/>
  <c r="E59" i="2"/>
  <c r="E48" i="2"/>
  <c r="E62" i="2"/>
  <c r="E56" i="2"/>
  <c r="E49" i="2"/>
  <c r="E58" i="2"/>
  <c r="E65" i="2"/>
  <c r="E57" i="2"/>
  <c r="E54" i="2"/>
  <c r="E63" i="2"/>
  <c r="E70" i="2"/>
  <c r="E69" i="2"/>
  <c r="E71" i="2"/>
  <c r="E72" i="2"/>
  <c r="E67" i="2"/>
  <c r="E47" i="2"/>
  <c r="E53" i="2"/>
  <c r="E55" i="2"/>
  <c r="E66" i="2"/>
  <c r="E61" i="2"/>
  <c r="E64" i="2"/>
  <c r="E68" i="2"/>
  <c r="E60" i="2"/>
  <c r="T41" i="2" l="1"/>
  <c r="T3" i="2" s="1"/>
  <c r="T45" i="2"/>
  <c r="T12" i="2" s="1"/>
  <c r="T46" i="2"/>
  <c r="T10" i="2" s="1"/>
  <c r="T43" i="2"/>
  <c r="T5" i="2" s="1"/>
  <c r="T52" i="2"/>
  <c r="T11" i="2" s="1"/>
  <c r="T44" i="2"/>
  <c r="T7" i="2" s="1"/>
  <c r="T42" i="2"/>
  <c r="T6" i="2" s="1"/>
  <c r="T50" i="2"/>
  <c r="T4" i="2" s="1"/>
  <c r="T59" i="2"/>
  <c r="T18" i="2" s="1"/>
  <c r="T48" i="2"/>
  <c r="T9" i="2" s="1"/>
  <c r="T62" i="2"/>
  <c r="T26" i="2" s="1"/>
  <c r="T56" i="2"/>
  <c r="T17" i="2" s="1"/>
  <c r="T49" i="2"/>
  <c r="T15" i="2" s="1"/>
  <c r="T58" i="2"/>
  <c r="T20" i="2" s="1"/>
  <c r="T65" i="2"/>
  <c r="T29" i="2" s="1"/>
  <c r="T57" i="2"/>
  <c r="T23" i="2" s="1"/>
  <c r="T68" i="2"/>
  <c r="T28" i="2" s="1"/>
  <c r="T63" i="2"/>
  <c r="T27" i="2" s="1"/>
  <c r="T70" i="2"/>
  <c r="T32" i="2" s="1"/>
  <c r="T69" i="2"/>
  <c r="T31" i="2" s="1"/>
  <c r="T47" i="2"/>
  <c r="T8" i="2" s="1"/>
  <c r="T54" i="2"/>
  <c r="T14" i="2" s="1"/>
  <c r="T71" i="2"/>
  <c r="T72" i="2"/>
  <c r="T67" i="2"/>
  <c r="T30" i="2" s="1"/>
  <c r="T53" i="2"/>
  <c r="T16" i="2" s="1"/>
  <c r="T55" i="2"/>
  <c r="T24" i="2" s="1"/>
  <c r="T66" i="2"/>
  <c r="T22" i="2" s="1"/>
  <c r="T61" i="2"/>
  <c r="T19" i="2" s="1"/>
  <c r="T51" i="2"/>
  <c r="T13" i="2" s="1"/>
  <c r="T60" i="2"/>
  <c r="T21" i="2" s="1"/>
  <c r="T64" i="2"/>
  <c r="T25" i="2" s="1"/>
  <c r="E51" i="2" l="1"/>
  <c r="D52" i="2"/>
  <c r="D47" i="2"/>
  <c r="D60" i="2"/>
  <c r="D56" i="2"/>
  <c r="D44" i="2"/>
  <c r="D53" i="2"/>
  <c r="D41" i="2"/>
  <c r="D45" i="2"/>
  <c r="D50" i="2"/>
  <c r="D46" i="2"/>
  <c r="D61" i="2"/>
  <c r="D43" i="2"/>
  <c r="D69" i="2"/>
  <c r="D65" i="2"/>
  <c r="D68" i="2"/>
  <c r="D66" i="2"/>
  <c r="D49" i="2"/>
  <c r="D72" i="2"/>
  <c r="D63" i="2"/>
  <c r="D64" i="2"/>
  <c r="D57" i="2"/>
  <c r="D58" i="2"/>
  <c r="D67" i="2"/>
  <c r="D42" i="2"/>
  <c r="D59" i="2"/>
  <c r="D70" i="2"/>
  <c r="D71" i="2"/>
  <c r="D48" i="2"/>
  <c r="D62" i="2"/>
  <c r="D54" i="2"/>
  <c r="D55" i="2"/>
  <c r="D51" i="2"/>
  <c r="R51" i="2"/>
  <c r="R13" i="2" s="1"/>
  <c r="Q51" i="2"/>
  <c r="R55" i="2"/>
  <c r="R24" i="2" s="1"/>
  <c r="Q55" i="2"/>
  <c r="R54" i="2"/>
  <c r="R14" i="2" s="1"/>
  <c r="Q54" i="2"/>
  <c r="R62" i="2"/>
  <c r="R26" i="2" s="1"/>
  <c r="Q62" i="2"/>
  <c r="R48" i="2"/>
  <c r="R9" i="2" s="1"/>
  <c r="Q48" i="2"/>
  <c r="R71" i="2"/>
  <c r="Q71" i="2"/>
  <c r="R70" i="2"/>
  <c r="R32" i="2" s="1"/>
  <c r="Q70" i="2"/>
  <c r="R59" i="2"/>
  <c r="R18" i="2" s="1"/>
  <c r="Q59" i="2"/>
  <c r="R42" i="2"/>
  <c r="R6" i="2" s="1"/>
  <c r="Q42" i="2"/>
  <c r="R67" i="2"/>
  <c r="R30" i="2" s="1"/>
  <c r="Q67" i="2"/>
  <c r="R58" i="2"/>
  <c r="R20" i="2" s="1"/>
  <c r="Q58" i="2"/>
  <c r="R57" i="2"/>
  <c r="R23" i="2" s="1"/>
  <c r="Q57" i="2"/>
  <c r="R64" i="2"/>
  <c r="R25" i="2" s="1"/>
  <c r="Q64" i="2"/>
  <c r="R63" i="2"/>
  <c r="R27" i="2" s="1"/>
  <c r="Q63" i="2"/>
  <c r="R72" i="2"/>
  <c r="Q72" i="2"/>
  <c r="U30" i="2" s="1"/>
  <c r="R49" i="2"/>
  <c r="R15" i="2" s="1"/>
  <c r="Q49" i="2"/>
  <c r="R66" i="2"/>
  <c r="R22" i="2" s="1"/>
  <c r="Q66" i="2"/>
  <c r="R68" i="2"/>
  <c r="R28" i="2" s="1"/>
  <c r="Q68" i="2"/>
  <c r="R65" i="2"/>
  <c r="R29" i="2" s="1"/>
  <c r="Q65" i="2"/>
  <c r="R69" i="2"/>
  <c r="R31" i="2" s="1"/>
  <c r="Q69" i="2"/>
  <c r="R43" i="2"/>
  <c r="R5" i="2" s="1"/>
  <c r="Q43" i="2"/>
  <c r="R61" i="2"/>
  <c r="R19" i="2" s="1"/>
  <c r="Q61" i="2"/>
  <c r="R46" i="2"/>
  <c r="R10" i="2" s="1"/>
  <c r="Q46" i="2"/>
  <c r="R50" i="2"/>
  <c r="R4" i="2" s="1"/>
  <c r="Q50" i="2"/>
  <c r="R45" i="2"/>
  <c r="R12" i="2" s="1"/>
  <c r="Q45" i="2"/>
  <c r="R41" i="2"/>
  <c r="R3" i="2" s="1"/>
  <c r="Q41" i="2"/>
  <c r="Q3" i="2" s="1"/>
  <c r="R53" i="2"/>
  <c r="R16" i="2" s="1"/>
  <c r="Q53" i="2"/>
  <c r="R44" i="2"/>
  <c r="R7" i="2" s="1"/>
  <c r="Q44" i="2"/>
  <c r="R56" i="2"/>
  <c r="R17" i="2" s="1"/>
  <c r="Q56" i="2"/>
  <c r="R60" i="2"/>
  <c r="R21" i="2" s="1"/>
  <c r="Q60" i="2"/>
  <c r="R47" i="2"/>
  <c r="R8" i="2" s="1"/>
  <c r="Q47" i="2"/>
  <c r="R52" i="2"/>
  <c r="R11" i="2" s="1"/>
  <c r="Q52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H1" i="2"/>
  <c r="V30" i="2" l="1"/>
  <c r="W30" i="2"/>
  <c r="Q10" i="2"/>
  <c r="U10" i="2"/>
  <c r="Q21" i="2"/>
  <c r="U21" i="2"/>
  <c r="Q17" i="2"/>
  <c r="U17" i="2"/>
  <c r="Q16" i="2"/>
  <c r="U16" i="2"/>
  <c r="Q30" i="2"/>
  <c r="Q32" i="2"/>
  <c r="U19" i="2"/>
  <c r="Q19" i="2"/>
  <c r="Q27" i="2"/>
  <c r="U27" i="2"/>
  <c r="Q7" i="2"/>
  <c r="U7" i="2"/>
  <c r="Q28" i="2"/>
  <c r="U28" i="2"/>
  <c r="Q24" i="2"/>
  <c r="U24" i="2"/>
  <c r="Q12" i="2"/>
  <c r="U12" i="2"/>
  <c r="U22" i="2"/>
  <c r="Q22" i="2"/>
  <c r="U6" i="2"/>
  <c r="Q6" i="2"/>
  <c r="Q13" i="2"/>
  <c r="U13" i="2"/>
  <c r="U8" i="2"/>
  <c r="Q8" i="2"/>
  <c r="Q25" i="2"/>
  <c r="U25" i="2"/>
  <c r="Q23" i="2"/>
  <c r="U23" i="2"/>
  <c r="U20" i="2"/>
  <c r="Q20" i="2"/>
  <c r="U32" i="2"/>
  <c r="U5" i="2"/>
  <c r="Q5" i="2"/>
  <c r="U9" i="2"/>
  <c r="Q9" i="2"/>
  <c r="U31" i="2"/>
  <c r="Q31" i="2"/>
  <c r="Q26" i="2"/>
  <c r="U26" i="2"/>
  <c r="U29" i="2"/>
  <c r="Q29" i="2"/>
  <c r="U14" i="2"/>
  <c r="Q14" i="2"/>
  <c r="Q11" i="2"/>
  <c r="U11" i="2"/>
  <c r="U4" i="2"/>
  <c r="Q4" i="2"/>
  <c r="Q15" i="2"/>
  <c r="U15" i="2"/>
  <c r="U18" i="2"/>
  <c r="Q18" i="2"/>
  <c r="U41" i="2"/>
  <c r="U3" i="2" s="1"/>
  <c r="S62" i="2"/>
  <c r="S26" i="2" s="1"/>
  <c r="S68" i="2"/>
  <c r="S28" i="2" s="1"/>
  <c r="S45" i="2"/>
  <c r="S12" i="2" s="1"/>
  <c r="S43" i="2"/>
  <c r="S5" i="2" s="1"/>
  <c r="S64" i="2"/>
  <c r="S25" i="2" s="1"/>
  <c r="S42" i="2"/>
  <c r="S6" i="2" s="1"/>
  <c r="S44" i="2"/>
  <c r="S7" i="2" s="1"/>
  <c r="S50" i="2"/>
  <c r="S4" i="2" s="1"/>
  <c r="S57" i="2"/>
  <c r="S23" i="2" s="1"/>
  <c r="S54" i="2"/>
  <c r="S14" i="2" s="1"/>
  <c r="S65" i="2"/>
  <c r="S29" i="2" s="1"/>
  <c r="S58" i="2"/>
  <c r="S20" i="2" s="1"/>
  <c r="S41" i="2"/>
  <c r="S3" i="2" s="1"/>
  <c r="S46" i="2"/>
  <c r="S10" i="2" s="1"/>
  <c r="S71" i="2"/>
  <c r="S61" i="2"/>
  <c r="S19" i="2" s="1"/>
  <c r="S70" i="2"/>
  <c r="S32" i="2" s="1"/>
  <c r="S55" i="2"/>
  <c r="S24" i="2" s="1"/>
  <c r="S63" i="2"/>
  <c r="S27" i="2" s="1"/>
  <c r="S48" i="2"/>
  <c r="S9" i="2" s="1"/>
  <c r="S67" i="2"/>
  <c r="S30" i="2" s="1"/>
  <c r="S72" i="2"/>
  <c r="S53" i="2"/>
  <c r="S16" i="2" s="1"/>
  <c r="S66" i="2"/>
  <c r="S22" i="2" s="1"/>
  <c r="S47" i="2"/>
  <c r="S8" i="2" s="1"/>
  <c r="S56" i="2"/>
  <c r="S17" i="2" s="1"/>
  <c r="S69" i="2"/>
  <c r="S31" i="2" s="1"/>
  <c r="S52" i="2"/>
  <c r="S11" i="2" s="1"/>
  <c r="S59" i="2"/>
  <c r="S18" i="2" s="1"/>
  <c r="S51" i="2"/>
  <c r="S13" i="2" s="1"/>
  <c r="S60" i="2"/>
  <c r="S21" i="2" s="1"/>
  <c r="S49" i="2"/>
  <c r="S15" i="2" s="1"/>
  <c r="I1" i="2"/>
  <c r="V29" i="2" l="1"/>
  <c r="W29" i="2"/>
  <c r="V27" i="2"/>
  <c r="W27" i="2"/>
  <c r="V8" i="2"/>
  <c r="W8" i="2"/>
  <c r="V19" i="2"/>
  <c r="W19" i="2"/>
  <c r="V3" i="2"/>
  <c r="W3" i="2"/>
  <c r="V16" i="2"/>
  <c r="W16" i="2"/>
  <c r="V26" i="2"/>
  <c r="W26" i="2"/>
  <c r="V13" i="2"/>
  <c r="W13" i="2"/>
  <c r="V31" i="2"/>
  <c r="W31" i="2"/>
  <c r="V6" i="2"/>
  <c r="W6" i="2"/>
  <c r="V18" i="2"/>
  <c r="W18" i="2"/>
  <c r="V9" i="2"/>
  <c r="W9" i="2"/>
  <c r="V15" i="2"/>
  <c r="W15" i="2"/>
  <c r="V22" i="2"/>
  <c r="W22" i="2"/>
  <c r="V5" i="2"/>
  <c r="W5" i="2"/>
  <c r="V12" i="2"/>
  <c r="W12" i="2"/>
  <c r="V17" i="2"/>
  <c r="W17" i="2"/>
  <c r="V32" i="2"/>
  <c r="W32" i="2"/>
  <c r="V4" i="2"/>
  <c r="W4" i="2"/>
  <c r="V24" i="2"/>
  <c r="W24" i="2"/>
  <c r="V21" i="2"/>
  <c r="W21" i="2"/>
  <c r="V11" i="2"/>
  <c r="W11" i="2"/>
  <c r="V20" i="2"/>
  <c r="W20" i="2"/>
  <c r="V23" i="2"/>
  <c r="W23" i="2"/>
  <c r="V28" i="2"/>
  <c r="W28" i="2"/>
  <c r="V10" i="2"/>
  <c r="W10" i="2"/>
  <c r="V14" i="2"/>
  <c r="W14" i="2"/>
  <c r="V25" i="2"/>
  <c r="W25" i="2"/>
  <c r="V7" i="2"/>
  <c r="W7" i="2"/>
  <c r="J1" i="2"/>
  <c r="K1" i="2" l="1"/>
  <c r="L1" i="2" l="1"/>
  <c r="M1" i="2" l="1"/>
  <c r="N1" i="2" l="1"/>
  <c r="O1" i="2" l="1"/>
  <c r="P1" i="2" l="1"/>
  <c r="Q1" i="2" l="1"/>
  <c r="R1" i="2" l="1"/>
</calcChain>
</file>

<file path=xl/sharedStrings.xml><?xml version="1.0" encoding="utf-8"?>
<sst xmlns="http://schemas.openxmlformats.org/spreadsheetml/2006/main" count="172" uniqueCount="115">
  <si>
    <t>Bum</t>
  </si>
  <si>
    <t>Sum of Avg Win Total</t>
  </si>
  <si>
    <t>Sum of SD</t>
  </si>
  <si>
    <t>Rubino</t>
  </si>
  <si>
    <t>Matt M</t>
  </si>
  <si>
    <t>Flaim</t>
  </si>
  <si>
    <t>Fish</t>
  </si>
  <si>
    <t>Conley</t>
  </si>
  <si>
    <t>Brad</t>
  </si>
  <si>
    <t>Bailey</t>
  </si>
  <si>
    <t>Avallone</t>
  </si>
  <si>
    <t>Draft Pick</t>
  </si>
  <si>
    <t>Guy</t>
  </si>
  <si>
    <t>Pick</t>
  </si>
  <si>
    <t>Team</t>
  </si>
  <si>
    <t>BR</t>
  </si>
  <si>
    <t>FPI</t>
  </si>
  <si>
    <t>SI</t>
  </si>
  <si>
    <t>ESPN</t>
  </si>
  <si>
    <t>CBS</t>
  </si>
  <si>
    <t>NFL</t>
  </si>
  <si>
    <t>O/U</t>
  </si>
  <si>
    <t>Avg Win Total</t>
  </si>
  <si>
    <t>SD</t>
  </si>
  <si>
    <t>Buffalo Bills</t>
  </si>
  <si>
    <t>Green Bay Packers</t>
  </si>
  <si>
    <t>Tampa Bay Buccaneers</t>
  </si>
  <si>
    <t>Kansas City Chiefs</t>
  </si>
  <si>
    <t>Baltimore Ravens</t>
  </si>
  <si>
    <t>Los Angeles Rams</t>
  </si>
  <si>
    <t>Denver Broncos</t>
  </si>
  <si>
    <t>Cincinnati Bengals</t>
  </si>
  <si>
    <t>Indianapolis Colts</t>
  </si>
  <si>
    <t>Los Angeles Chargers</t>
  </si>
  <si>
    <t>Philadelphia Eagles</t>
  </si>
  <si>
    <t>Pick #</t>
  </si>
  <si>
    <t>Picked</t>
  </si>
  <si>
    <t>Avg</t>
  </si>
  <si>
    <t>Rank</t>
  </si>
  <si>
    <t>Dallas Cowboys</t>
  </si>
  <si>
    <t>San Francisco 49ers</t>
  </si>
  <si>
    <t>Minnesota Vikings</t>
  </si>
  <si>
    <t>Tennessee Titans</t>
  </si>
  <si>
    <t>Las Vegas Raiders</t>
  </si>
  <si>
    <t>Miami Dolphins</t>
  </si>
  <si>
    <t>New England Patriots</t>
  </si>
  <si>
    <t>New Orleans Saints</t>
  </si>
  <si>
    <t>Arizona Cardinals</t>
  </si>
  <si>
    <t>Pittsburgh Steelers</t>
  </si>
  <si>
    <t>Cleveland Browns</t>
  </si>
  <si>
    <t>Washington Commanders</t>
  </si>
  <si>
    <t>Detroit Lions</t>
  </si>
  <si>
    <t>Jacksonville Jaguars</t>
  </si>
  <si>
    <t>New York Giants</t>
  </si>
  <si>
    <t>Carolina Panthers</t>
  </si>
  <si>
    <t>New York Jets</t>
  </si>
  <si>
    <t>Seattle Seahawks</t>
  </si>
  <si>
    <t>Atlanta Falcons</t>
  </si>
  <si>
    <t>Chicago Bears</t>
  </si>
  <si>
    <t>Houston Texans</t>
  </si>
  <si>
    <t>https://bleacherreport.com/articles/2955843-win-loss-predictions-for-every-nfl-team-after-2022-schedule-release</t>
  </si>
  <si>
    <t>https://www.espn.com/nfl/fpi</t>
  </si>
  <si>
    <t>https://projects.fivethirtyeight.com/2022-nfl-predictions/</t>
  </si>
  <si>
    <t>https://www.nfl.com/news/2022-nfc-win-total-projections-packers-buccaneers-rams-continue-reign-eagles-tak</t>
  </si>
  <si>
    <t>https://www.sportingnews.com/ca/nfl/news/nfl-predictions-2022-final-standings-playoff-projections-super-bowl-57-pick/ndlfgncubaugwx6xdolpxxqb</t>
  </si>
  <si>
    <t>https://www.cbssports.com/nfl/news/2022-nfl-preview-bold-predictions-final-record-for-each-team-plus-playoff-picks-and-super-bowl-lvii-winner/</t>
  </si>
  <si>
    <t>Pick1</t>
  </si>
  <si>
    <t>Pick2</t>
  </si>
  <si>
    <t>Pick3</t>
  </si>
  <si>
    <t/>
  </si>
  <si>
    <t>Otto</t>
  </si>
  <si>
    <t>Athletic</t>
  </si>
  <si>
    <t>Z Score</t>
  </si>
  <si>
    <t>Z Test</t>
  </si>
  <si>
    <t>https://www.eldo.co/analysis/your-nfl-wins-pool-draft-order-needs-some-adjusting</t>
  </si>
  <si>
    <t>Chris M</t>
  </si>
  <si>
    <t>Clay</t>
  </si>
  <si>
    <t>PFF</t>
  </si>
  <si>
    <t>Sum of Rank</t>
  </si>
  <si>
    <t>Pick Analysis</t>
  </si>
  <si>
    <t>Sum of Pick Analysis</t>
  </si>
  <si>
    <t>Pick Diff</t>
  </si>
  <si>
    <t>PlayerID</t>
  </si>
  <si>
    <t>BUF</t>
  </si>
  <si>
    <t>ARI</t>
  </si>
  <si>
    <t>CIN</t>
  </si>
  <si>
    <t>ATL</t>
  </si>
  <si>
    <t>SEA</t>
  </si>
  <si>
    <t>MIA</t>
  </si>
  <si>
    <t>HOU</t>
  </si>
  <si>
    <t>WAS</t>
  </si>
  <si>
    <t>DAL</t>
  </si>
  <si>
    <t>DEN</t>
  </si>
  <si>
    <t>BAL</t>
  </si>
  <si>
    <t>MIN</t>
  </si>
  <si>
    <t>DET</t>
  </si>
  <si>
    <t>CLE</t>
  </si>
  <si>
    <t>PHI</t>
  </si>
  <si>
    <t>IND</t>
  </si>
  <si>
    <t>PIT</t>
  </si>
  <si>
    <t>TEN</t>
  </si>
  <si>
    <t>CHI</t>
  </si>
  <si>
    <t>GB</t>
  </si>
  <si>
    <t>JAX</t>
  </si>
  <si>
    <t>KC</t>
  </si>
  <si>
    <t>LV</t>
  </si>
  <si>
    <t>LAC</t>
  </si>
  <si>
    <t>LA</t>
  </si>
  <si>
    <t>NO</t>
  </si>
  <si>
    <t>NYG</t>
  </si>
  <si>
    <t>NYJ</t>
  </si>
  <si>
    <t>SF</t>
  </si>
  <si>
    <t>TB</t>
  </si>
  <si>
    <t>Column2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</si>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</sst>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2" fontId="5" fillId="0" borderId="0" xfId="0" applyNumberFormat="1" applyFont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0" borderId="0" xfId="0" applyFont="1"/>
    <xf numFmtId="0" fontId="5" fillId="0" borderId="2" xfId="0" applyFont="1" applyBorder="1"/>
    <xf numFmtId="0" fontId="8" fillId="0" borderId="0" xfId="1"/>
    <xf numFmtId="0" fontId="3" fillId="0" borderId="0" xfId="0" applyFont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2" fontId="1" fillId="0" borderId="0" xfId="0" quotePrefix="1" applyNumberFormat="1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3" xfId="0" applyNumberFormat="1" applyBorder="1"/>
    <xf numFmtId="2" fontId="0" fillId="0" borderId="6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2" fontId="0" fillId="0" borderId="8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10" xfId="0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2">
    <cellStyle name="Hyperlink" xfId="1" builtinId="8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</font>
    </dxf>
    <dxf>
      <font>
        <b val="0"/>
      </font>
    </dxf>
    <dxf>
      <numFmt numFmtId="2" formatCode="0.00"/>
    </dxf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raft-style" pivot="0" count="3" xr9:uid="{00000000-0011-0000-FFFF-FFFF00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homas Fischer" refreshedDate="45545.51034375" createdVersion="8" refreshedVersion="8" minRefreshableVersion="3" recordCount="30" xr:uid="{B8CC9E0A-19BC-43A2-9F84-8045AD882918}">
  <cacheSource type="worksheet">
    <worksheetSource ref="D2:V32" sheet="Draft"/>
  </cacheSource>
  <cacheFields count="19">
    <cacheField name="Pick" numFmtId="0">
      <sharedItems containsSemiMixedTypes="0" containsString="0" containsNumber="1" containsInteger="1" minValue="1" maxValue="30"/>
    </cacheField>
    <cacheField name="Bum" numFmtId="0">
      <sharedItems count="10">
        <s v="Otto"/>
        <s v="Conley"/>
        <s v="Brad"/>
        <s v="Flaim"/>
        <s v="Fish"/>
        <s v="Rubino"/>
        <s v="Chris M"/>
        <s v="Matt M"/>
        <s v="Avallone"/>
        <s v="Bailey"/>
      </sharedItems>
    </cacheField>
    <cacheField name="Team" numFmtId="0">
      <sharedItems/>
    </cacheField>
    <cacheField name="BR" numFmtId="2">
      <sharedItems containsSemiMixedTypes="0" containsString="0" containsNumber="1" containsInteger="1" minValue="4" maxValue="13"/>
    </cacheField>
    <cacheField name="FPI" numFmtId="2">
      <sharedItems containsSemiMixedTypes="0" containsString="0" containsNumber="1" minValue="6.6" maxValue="10.4"/>
    </cacheField>
    <cacheField name="SI" numFmtId="2">
      <sharedItems containsSemiMixedTypes="0" containsString="0" containsNumber="1" containsInteger="1" minValue="5" maxValue="12"/>
    </cacheField>
    <cacheField name="ESPN" numFmtId="2">
      <sharedItems containsSemiMixedTypes="0" containsString="0" containsNumber="1" containsInteger="1" minValue="4" maxValue="13"/>
    </cacheField>
    <cacheField name="CBS" numFmtId="2">
      <sharedItems containsSemiMixedTypes="0" containsString="0" containsNumber="1" containsInteger="1" minValue="6" maxValue="12"/>
    </cacheField>
    <cacheField name="Athletic" numFmtId="2">
      <sharedItems containsSemiMixedTypes="0" containsString="0" containsNumber="1" minValue="5.9" maxValue="11.4"/>
    </cacheField>
    <cacheField name="PFF" numFmtId="2">
      <sharedItems containsSemiMixedTypes="0" containsString="0" containsNumber="1" minValue="7.0529999999999999" maxValue="10.9056"/>
    </cacheField>
    <cacheField name="NFL" numFmtId="2">
      <sharedItems containsSemiMixedTypes="0" containsString="0" containsNumber="1" minValue="5.7" maxValue="11.4"/>
    </cacheField>
    <cacheField name="O/U" numFmtId="2">
      <sharedItems containsSemiMixedTypes="0" containsString="0" containsNumber="1" minValue="5.5" maxValue="11.5"/>
    </cacheField>
    <cacheField name="Clay" numFmtId="2">
      <sharedItems containsSemiMixedTypes="0" containsString="0" containsNumber="1" minValue="4.3" maxValue="12.3"/>
    </cacheField>
    <cacheField name="Avg Win Total" numFmtId="2">
      <sharedItems containsSemiMixedTypes="0" containsString="0" containsNumber="1" minValue="6.1387400000000003" maxValue="11.390560000000002"/>
    </cacheField>
    <cacheField name="SD" numFmtId="2">
      <sharedItems containsSemiMixedTypes="0" containsString="0" containsNumber="1" minValue="0.46578079007189638" maxValue="1.2298826318393139"/>
    </cacheField>
    <cacheField name="Z Score" numFmtId="2">
      <sharedItems containsSemiMixedTypes="0" containsString="0" containsNumber="1" minValue="-1.1941743726294654" maxValue="1.4703236448671753"/>
    </cacheField>
    <cacheField name="Z Test" numFmtId="2">
      <sharedItems containsSemiMixedTypes="0" containsString="0" containsNumber="1" minValue="2.6161831682199819" maxValue="5.5641998039760523"/>
    </cacheField>
    <cacheField name="Rank" numFmtId="2">
      <sharedItems containsSemiMixedTypes="0" containsString="0" containsNumber="1" containsInteger="1" minValue="1" maxValue="30"/>
    </cacheField>
    <cacheField name="Pick Analysis" numFmtId="2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s v="Kansas City Chiefs"/>
    <n v="11"/>
    <n v="10.4"/>
    <n v="11"/>
    <n v="13"/>
    <n v="12"/>
    <n v="11.3"/>
    <n v="10.9056"/>
    <n v="11.4"/>
    <n v="11.5"/>
    <n v="11.4"/>
    <n v="11.390560000000002"/>
    <n v="0.6710842140894091"/>
    <n v="1.4703236448671753"/>
    <n v="3.6596900309565727"/>
    <n v="1"/>
    <n v="1"/>
  </r>
  <r>
    <n v="2"/>
    <x v="1"/>
    <s v="Dallas Cowboys"/>
    <n v="8"/>
    <n v="9.5"/>
    <n v="9"/>
    <n v="11"/>
    <n v="10"/>
    <n v="10"/>
    <n v="9.6039999999999992"/>
    <n v="9.1999999999999993"/>
    <n v="9.5"/>
    <n v="11.3"/>
    <n v="9.7103999999999999"/>
    <n v="0.90267017232209479"/>
    <n v="0.61789858287396893"/>
    <n v="3.9495606019358105"/>
    <n v="10"/>
    <n v="-1"/>
  </r>
  <r>
    <n v="3"/>
    <x v="2"/>
    <s v="San Francisco 49ers"/>
    <n v="11"/>
    <n v="10.4"/>
    <n v="10"/>
    <n v="10"/>
    <n v="11"/>
    <n v="11.4"/>
    <n v="10.6623"/>
    <n v="11"/>
    <n v="11.5"/>
    <n v="12.3"/>
    <n v="10.92623"/>
    <n v="0.67228127751708222"/>
    <n v="1.2347469563164974"/>
    <n v="4.6948670997009438"/>
    <n v="3"/>
    <n v="1"/>
  </r>
  <r>
    <n v="4"/>
    <x v="3"/>
    <s v="Detroit Lions"/>
    <n v="13"/>
    <n v="9.9"/>
    <n v="12"/>
    <n v="13"/>
    <n v="12"/>
    <n v="10.5"/>
    <n v="9.7087000000000003"/>
    <n v="10.7"/>
    <n v="10.5"/>
    <n v="10.7"/>
    <n v="11.20087"/>
    <n v="1.1469074993651358"/>
    <n v="1.3740848878383845"/>
    <n v="4.0896036856555691"/>
    <n v="2"/>
    <n v="1"/>
  </r>
  <r>
    <n v="5"/>
    <x v="4"/>
    <s v="Baltimore Ravens"/>
    <n v="11"/>
    <n v="9.6999999999999993"/>
    <n v="10"/>
    <n v="11"/>
    <n v="12"/>
    <n v="10.199999999999999"/>
    <n v="10.217499999999999"/>
    <n v="10.5"/>
    <n v="10.5"/>
    <n v="11.3"/>
    <n v="10.64175"/>
    <n v="0.65183399918997798"/>
    <n v="1.0904167248886409"/>
    <n v="3.7649889152011182"/>
    <n v="4"/>
    <n v="1"/>
  </r>
  <r>
    <n v="6"/>
    <x v="5"/>
    <s v="Green Bay Packers"/>
    <n v="10"/>
    <n v="9.1999999999999993"/>
    <n v="12"/>
    <n v="11"/>
    <n v="11"/>
    <n v="9.8000000000000007"/>
    <n v="9.2241"/>
    <n v="9.8000000000000007"/>
    <n v="9.5"/>
    <n v="9"/>
    <n v="10.052409999999998"/>
    <n v="0.92436749883366187"/>
    <n v="0.79141651893499565"/>
    <n v="3.5540011508213523"/>
    <n v="7"/>
    <n v="-1"/>
  </r>
  <r>
    <n v="7"/>
    <x v="6"/>
    <s v="New York Jets"/>
    <n v="10"/>
    <n v="9.3000000000000007"/>
    <n v="9"/>
    <n v="12"/>
    <n v="10"/>
    <n v="9.6"/>
    <n v="9.0349000000000004"/>
    <n v="10.1"/>
    <n v="9.5"/>
    <n v="11.7"/>
    <n v="10.023489999999999"/>
    <n v="0.98619978751772186"/>
    <n v="0.77674402774794027"/>
    <n v="3.6067048248050195"/>
    <n v="8"/>
    <n v="-1"/>
  </r>
  <r>
    <n v="8"/>
    <x v="7"/>
    <s v="Philadelphia Eagles"/>
    <n v="12"/>
    <n v="10.3"/>
    <n v="10"/>
    <n v="11"/>
    <n v="9"/>
    <n v="10.199999999999999"/>
    <n v="9.7890999999999995"/>
    <n v="11.2"/>
    <n v="10.5"/>
    <n v="9.8000000000000007"/>
    <n v="10.378910000000001"/>
    <n v="0.80428545486039971"/>
    <n v="0.9570654944735062"/>
    <n v="4.1215701801028084"/>
    <n v="6"/>
    <n v="1"/>
  </r>
  <r>
    <n v="9"/>
    <x v="8"/>
    <s v="Buffalo Bills"/>
    <n v="9"/>
    <n v="9.4"/>
    <n v="10"/>
    <n v="7"/>
    <n v="9"/>
    <n v="9.6999999999999993"/>
    <n v="9.7230000000000008"/>
    <n v="10.1"/>
    <n v="10.5"/>
    <n v="10"/>
    <n v="9.4422999999999995"/>
    <n v="0.93147389120683355"/>
    <n v="0.48187870433836594"/>
    <n v="4.5609690274168511"/>
    <n v="12"/>
    <n v="-1"/>
  </r>
  <r>
    <n v="10"/>
    <x v="9"/>
    <s v="Cincinnati Bengals"/>
    <n v="11"/>
    <n v="9.8000000000000007"/>
    <n v="11"/>
    <n v="11"/>
    <n v="11"/>
    <n v="10.199999999999999"/>
    <n v="9.7653999999999996"/>
    <n v="10.4"/>
    <n v="10.5"/>
    <n v="10.3"/>
    <n v="10.49654"/>
    <n v="0.46578079007189638"/>
    <n v="1.0167447869469963"/>
    <n v="4.7247391658107096"/>
    <n v="5"/>
    <n v="1"/>
  </r>
  <r>
    <n v="11"/>
    <x v="6"/>
    <s v="Houston Texans"/>
    <n v="12"/>
    <n v="9.4"/>
    <n v="9"/>
    <n v="10"/>
    <n v="10"/>
    <n v="9"/>
    <n v="8.9095999999999993"/>
    <n v="10.4"/>
    <n v="9.5"/>
    <n v="8.6999999999999993"/>
    <n v="9.6909600000000005"/>
    <n v="0.93241165501081136"/>
    <n v="0.60803574647437153"/>
    <n v="3.7262823966159617"/>
    <n v="11"/>
    <n v="1"/>
  </r>
  <r>
    <n v="12"/>
    <x v="9"/>
    <s v="Atlanta Falcons"/>
    <n v="9"/>
    <n v="9.1999999999999993"/>
    <n v="8"/>
    <n v="6"/>
    <n v="10"/>
    <n v="9.4"/>
    <n v="9.0563000000000002"/>
    <n v="10.1"/>
    <n v="9.5"/>
    <n v="9.5"/>
    <n v="8.9756299999999989"/>
    <n v="1.136099939309922"/>
    <n v="0.24511482251736708"/>
    <n v="5.1294308671322657"/>
    <n v="14"/>
    <n v="-1"/>
  </r>
  <r>
    <n v="13"/>
    <x v="2"/>
    <s v="Miami Dolphins"/>
    <n v="11"/>
    <n v="9.1999999999999993"/>
    <n v="9"/>
    <n v="9"/>
    <n v="11"/>
    <n v="9.5"/>
    <n v="9.141"/>
    <n v="10"/>
    <n v="9.5"/>
    <n v="9.8000000000000007"/>
    <n v="9.7141000000000002"/>
    <n v="0.71417735192317611"/>
    <n v="0.61977576881422169"/>
    <n v="3.3454589536339787"/>
    <n v="9"/>
    <n v="1"/>
  </r>
  <r>
    <n v="14"/>
    <x v="8"/>
    <s v="Los Angeles Rams"/>
    <n v="9"/>
    <n v="8.6999999999999993"/>
    <n v="11"/>
    <n v="9"/>
    <n v="12"/>
    <n v="8.8000000000000007"/>
    <n v="8.5547000000000004"/>
    <n v="8.9"/>
    <n v="8.5"/>
    <n v="7.6"/>
    <n v="9.20547"/>
    <n v="1.2298826318393139"/>
    <n v="0.36172358373565533"/>
    <n v="2.6161831682199819"/>
    <n v="13"/>
    <n v="1"/>
  </r>
  <r>
    <n v="15"/>
    <x v="4"/>
    <s v="Los Angeles Chargers"/>
    <n v="9"/>
    <n v="8.8000000000000007"/>
    <n v="9"/>
    <n v="9"/>
    <n v="10"/>
    <n v="8.9"/>
    <n v="8.4461999999999993"/>
    <n v="8"/>
    <n v="8.5"/>
    <n v="7.9"/>
    <n v="8.7546199999999992"/>
    <n v="0.56697275031521566"/>
    <n v="0.13298594017811485"/>
    <n v="4.414176022343077"/>
    <n v="16"/>
    <n v="-1"/>
  </r>
  <r>
    <n v="16"/>
    <x v="1"/>
    <s v="Jacksonville Jaguars"/>
    <n v="7"/>
    <n v="8.3000000000000007"/>
    <n v="7"/>
    <n v="10"/>
    <n v="8"/>
    <n v="8.1"/>
    <n v="8.2482000000000006"/>
    <n v="8.3000000000000007"/>
    <n v="8.5"/>
    <n v="8.5"/>
    <n v="8.19482"/>
    <n v="0.79825152151436574"/>
    <n v="-0.15102721910659342"/>
    <n v="3.9484657334238942"/>
    <n v="19"/>
    <n v="-1"/>
  </r>
  <r>
    <n v="17"/>
    <x v="7"/>
    <s v="Indianapolis Colts"/>
    <n v="9"/>
    <n v="8.1999999999999993"/>
    <n v="9"/>
    <n v="7"/>
    <n v="7"/>
    <n v="7.5"/>
    <n v="8.0189000000000004"/>
    <n v="8.1"/>
    <n v="8.5"/>
    <n v="8.1"/>
    <n v="8.0418900000000004"/>
    <n v="0.67400367128080252"/>
    <n v="-0.22861588014519715"/>
    <n v="4.3296332526732497"/>
    <n v="21"/>
    <n v="-1"/>
  </r>
  <r>
    <n v="18"/>
    <x v="3"/>
    <s v="Cleveland Browns"/>
    <n v="8"/>
    <n v="8.6"/>
    <n v="9"/>
    <n v="6"/>
    <n v="9"/>
    <n v="8.6999999999999993"/>
    <n v="8.1077999999999992"/>
    <n v="8.6999999999999993"/>
    <n v="8.5"/>
    <n v="10.199999999999999"/>
    <n v="8.4807799999999993"/>
    <n v="1.0064853081888445"/>
    <n v="-5.9461133026364587E-3"/>
    <n v="5.5641998039760523"/>
    <n v="18"/>
    <n v="1"/>
  </r>
  <r>
    <n v="19"/>
    <x v="5"/>
    <s v="Tampa Bay Buccaneers"/>
    <n v="8"/>
    <n v="8.1"/>
    <n v="9"/>
    <n v="10"/>
    <n v="8"/>
    <n v="7.5"/>
    <n v="8.1046999999999993"/>
    <n v="8"/>
    <n v="7.5"/>
    <n v="7.7"/>
    <n v="8.1904700000000012"/>
    <n v="0.72444281216670237"/>
    <n v="-0.15323418095526817"/>
    <n v="2.8208297355078047"/>
    <n v="20"/>
    <n v="-1"/>
  </r>
  <r>
    <n v="20"/>
    <x v="0"/>
    <s v="Las Vegas Raiders"/>
    <n v="8"/>
    <n v="7.2"/>
    <n v="6"/>
    <n v="7"/>
    <n v="6"/>
    <n v="7.3"/>
    <n v="7.4428999999999998"/>
    <n v="5.7"/>
    <n v="6.5"/>
    <n v="6.1"/>
    <n v="6.7242900000000008"/>
    <n v="0.72910907064717712"/>
    <n v="-0.89709701389570107"/>
    <n v="3.8327129743878143"/>
    <n v="26"/>
    <n v="-1"/>
  </r>
  <r>
    <n v="21"/>
    <x v="7"/>
    <s v="Pittsburgh Steelers"/>
    <n v="10"/>
    <n v="8"/>
    <n v="10"/>
    <n v="8"/>
    <n v="8"/>
    <n v="7.6"/>
    <n v="8.0216999999999992"/>
    <n v="8.6"/>
    <n v="8.5"/>
    <n v="8.1"/>
    <n v="8.48217"/>
    <n v="0.8034669751147212"/>
    <n v="-5.2409002061628339E-3"/>
    <n v="3.1822515164979466"/>
    <n v="17"/>
    <n v="1"/>
  </r>
  <r>
    <n v="22"/>
    <x v="5"/>
    <s v="Chicago Bears"/>
    <n v="10"/>
    <n v="8.8000000000000007"/>
    <n v="9"/>
    <n v="10"/>
    <n v="8"/>
    <n v="8.1"/>
    <n v="8.6811000000000007"/>
    <n v="8.6"/>
    <n v="8.5"/>
    <n v="8.6"/>
    <n v="8.8281099999999988"/>
    <n v="0.65009503066859398"/>
    <n v="0.17027091173194325"/>
    <n v="3.3589132206308747"/>
    <n v="15"/>
    <n v="1"/>
  </r>
  <r>
    <n v="23"/>
    <x v="8"/>
    <s v="Arizona Cardinals"/>
    <n v="6"/>
    <n v="7.6"/>
    <n v="9"/>
    <n v="7"/>
    <n v="6"/>
    <n v="7.1"/>
    <n v="7.1859000000000002"/>
    <n v="6.9"/>
    <n v="7.5"/>
    <n v="5.6"/>
    <n v="6.9885899999999994"/>
    <n v="0.92861493252047844"/>
    <n v="-0.76300505605549362"/>
    <n v="3.7886180250504773"/>
    <n v="24"/>
    <n v="-1"/>
  </r>
  <r>
    <n v="24"/>
    <x v="9"/>
    <s v="Seattle Seahawks"/>
    <n v="7"/>
    <n v="8.3000000000000007"/>
    <n v="6"/>
    <n v="9"/>
    <n v="7"/>
    <n v="8.1999999999999993"/>
    <n v="7.8890000000000002"/>
    <n v="8.5"/>
    <n v="7.5"/>
    <n v="8.5"/>
    <n v="7.7889000000000008"/>
    <n v="0.86294199689201856"/>
    <n v="-0.35696973717884906"/>
    <n v="4.1803564309076373"/>
    <n v="22"/>
    <n v="1"/>
  </r>
  <r>
    <n v="25"/>
    <x v="3"/>
    <s v="New Orleans Saints"/>
    <n v="7"/>
    <n v="7.7"/>
    <n v="8"/>
    <n v="7"/>
    <n v="6"/>
    <n v="8.1999999999999993"/>
    <n v="8.1506000000000007"/>
    <n v="7.4"/>
    <n v="7.5"/>
    <n v="9.1999999999999993"/>
    <n v="7.6150600000000015"/>
    <n v="0.81981048566115877"/>
    <n v="-0.44516703551763714"/>
    <n v="3.9564668915435224"/>
    <n v="23"/>
    <n v="1"/>
  </r>
  <r>
    <n v="26"/>
    <x v="0"/>
    <s v="Tennessee Titans"/>
    <n v="5"/>
    <n v="6.8"/>
    <n v="6"/>
    <n v="5"/>
    <n v="6"/>
    <n v="6.8"/>
    <n v="7.1441999999999997"/>
    <n v="6.2"/>
    <n v="6.5"/>
    <n v="6.3"/>
    <n v="6.1744199999999996"/>
    <n v="0.68300587669507473"/>
    <n v="-1.1760722119948135"/>
    <n v="3.9869441527500302"/>
    <n v="28"/>
    <n v="-1"/>
  </r>
  <r>
    <n v="27"/>
    <x v="4"/>
    <s v="Minnesota Vikings"/>
    <n v="8"/>
    <n v="7.5"/>
    <n v="7"/>
    <n v="4"/>
    <n v="6"/>
    <n v="6.8"/>
    <n v="7.6951000000000001"/>
    <n v="7"/>
    <n v="7.5"/>
    <n v="6.8"/>
    <n v="6.8295099999999991"/>
    <n v="1.0850113183280707"/>
    <n v="-0.84371390453532846"/>
    <n v="4.7073227605413939"/>
    <n v="25"/>
    <n v="1"/>
  </r>
  <r>
    <n v="28"/>
    <x v="6"/>
    <s v="Washington Commanders"/>
    <n v="7"/>
    <n v="7.2"/>
    <n v="6"/>
    <n v="5"/>
    <n v="7"/>
    <n v="5.9"/>
    <n v="7.2244999999999999"/>
    <n v="6.4"/>
    <n v="6.5"/>
    <n v="5"/>
    <n v="6.3224499999999999"/>
    <n v="0.79496290636733236"/>
    <n v="-1.1009695539581654"/>
    <n v="3.9446088105270229"/>
    <n v="27"/>
    <n v="1"/>
  </r>
  <r>
    <n v="29"/>
    <x v="1"/>
    <s v="Denver Broncos"/>
    <n v="5"/>
    <n v="6.6"/>
    <n v="5"/>
    <n v="8"/>
    <n v="7"/>
    <n v="6"/>
    <n v="7.0529999999999999"/>
    <n v="6.4"/>
    <n v="5.5"/>
    <n v="5"/>
    <n v="6.1552999999999995"/>
    <n v="0.98171422012722365"/>
    <n v="-1.1857726971779567"/>
    <n v="3.6546615329561432"/>
    <n v="29"/>
    <n v="1"/>
  </r>
  <r>
    <n v="30"/>
    <x v="2"/>
    <s v="New York Giants"/>
    <n v="4"/>
    <n v="6.9"/>
    <n v="8"/>
    <n v="6"/>
    <n v="6"/>
    <n v="6.7"/>
    <n v="7.1874000000000002"/>
    <n v="5.8"/>
    <n v="6.5"/>
    <n v="4.3"/>
    <n v="6.1387400000000003"/>
    <n v="1.1703602387299394"/>
    <n v="-1.1941743726294654"/>
    <n v="3.856157015836275"/>
    <n v="3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C18AC-4FC4-4373-BDBB-68C977FD96E5}" name="Sheet1" cacheId="4" applyNumberFormats="0" applyBorderFormats="0" applyFontFormats="0" applyPatternFormats="0" applyAlignmentFormats="0" applyWidthHeightFormats="0" dataCaption="" updatedVersion="8" rowGrandTotals="0" compact="0" compactData="0">
  <location ref="A3:E14" firstHeaderRow="1" firstDataRow="2" firstDataCol="1"/>
  <pivotFields count="19">
    <pivotField name="Pick" compact="0" outline="0" multipleItemSelectionAllowed="1" showAll="0"/>
    <pivotField name="Bum" axis="axisRow" compact="0" outline="0" multipleItemSelectionAllowed="1" showAll="0" sortType="descending">
      <items count="11">
        <item x="2"/>
        <item x="3"/>
        <item x="5"/>
        <item x="9"/>
        <item x="4"/>
        <item x="8"/>
        <item x="1"/>
        <item x="6"/>
        <item x="7"/>
        <item x="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Team" compact="0" outline="0" multipleItemSelectionAllowed="1" showAll="0"/>
    <pivotField name="BR" compact="0" outline="0" multipleItemSelectionAllowed="1" showAll="0"/>
    <pivotField name="FPI" compact="0" outline="0" multipleItemSelectionAllowed="1" showAll="0"/>
    <pivotField name="SI" compact="0" outline="0" multipleItemSelectionAllowed="1" showAll="0"/>
    <pivotField name="ESPN" compact="0" outline="0" multipleItemSelectionAllowed="1" showAll="0"/>
    <pivotField name="CBS" compact="0" outline="0" multipleItemSelectionAllowed="1" showAll="0"/>
    <pivotField compact="0" outline="0" showAll="0" includeNewItemsInFilter="1"/>
    <pivotField compact="0" outline="0" showAll="0" includeNewItemsInFilter="1"/>
    <pivotField name="NFL" compact="0" outline="0" multipleItemSelectionAllowed="1" showAll="0"/>
    <pivotField name="O/U" compact="0" outline="0" multipleItemSelectionAllowed="1" showAll="0"/>
    <pivotField compact="0" outline="0" showAll="0" includeNewItemsInFilter="1"/>
    <pivotField name="Avg Win Total" dataField="1" compact="0" outline="0" multipleItemSelectionAllowed="1" showAll="0"/>
    <pivotField name="SD" dataField="1" compact="0" outline="0" multipleItemSelectionAllowed="1" showAll="0"/>
    <pivotField compact="0" numFmtId="2" outline="0" showAll="0" includeNewItemsInFilter="1"/>
    <pivotField compact="0" numFmtId="2" outline="0" showAll="0" includeNewItemsInFilter="1"/>
    <pivotField dataField="1" compact="0" numFmtId="2" outline="0" showAll="0" includeNewItemsInFilter="1"/>
    <pivotField dataField="1" compact="0" numFmtId="2" outline="0" showAll="0" includeNewItemsInFilter="1"/>
  </pivotFields>
  <rowFields count="1">
    <field x="1"/>
  </rowFields>
  <rowItems count="10">
    <i>
      <x v="1"/>
    </i>
    <i>
      <x v="3"/>
    </i>
    <i>
      <x v="2"/>
    </i>
    <i>
      <x v="8"/>
    </i>
    <i>
      <x/>
    </i>
    <i>
      <x v="4"/>
    </i>
    <i>
      <x v="7"/>
    </i>
    <i>
      <x v="5"/>
    </i>
    <i>
      <x v="9"/>
    </i>
    <i>
      <x v="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vg Win Total" fld="13" baseField="0" numFmtId="2"/>
    <dataField name="Sum of SD" fld="14" baseField="0" numFmtId="2"/>
    <dataField name="Sum of Rank" fld="17" baseField="0" baseItem="0"/>
    <dataField name="Sum of Pick Analysis" fld="18" baseField="0" baseItem="0"/>
  </dataFields>
  <formats count="2">
    <format dxfId="32">
      <pivotArea outline="0" fieldPosition="0">
        <references count="1">
          <reference field="4294967294" count="1" selected="0">
            <x v="0"/>
          </reference>
        </references>
      </pivotArea>
    </format>
    <format dxfId="31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0:U72">
  <autoFilter ref="D40:U72" xr:uid="{00000000-000C-0000-FFFF-FFFF00000000}"/>
  <sortState xmlns:xlrd2="http://schemas.microsoft.com/office/spreadsheetml/2017/richdata2" ref="D41:U72">
    <sortCondition descending="1" ref="Q40:Q72"/>
  </sortState>
  <tableColumns count="18">
    <tableColumn id="1" xr3:uid="{00000000-0010-0000-0000-000001000000}" name="Pick #" dataDxfId="30"/>
    <tableColumn id="2" xr3:uid="{00000000-0010-0000-0000-000002000000}" name="Picked" dataDxfId="29">
      <calculatedColumnFormula>IF(COUNTIF($F$3:$F$32,$F41)&gt;0,"x","")</calculatedColumnFormula>
    </tableColumn>
    <tableColumn id="3" xr3:uid="{00000000-0010-0000-0000-000003000000}" name="Team"/>
    <tableColumn id="4" xr3:uid="{00000000-0010-0000-0000-000004000000}" name="BR"/>
    <tableColumn id="5" xr3:uid="{00000000-0010-0000-0000-000005000000}" name="FPI"/>
    <tableColumn id="6" xr3:uid="{00000000-0010-0000-0000-000006000000}" name="SI"/>
    <tableColumn id="7" xr3:uid="{00000000-0010-0000-0000-000007000000}" name="ESPN" dataDxfId="28"/>
    <tableColumn id="8" xr3:uid="{00000000-0010-0000-0000-000008000000}" name="CBS"/>
    <tableColumn id="9" xr3:uid="{00000000-0010-0000-0000-000009000000}" name="Athletic"/>
    <tableColumn id="10" xr3:uid="{00000000-0010-0000-0000-00000A000000}" name="PFF"/>
    <tableColumn id="11" xr3:uid="{00000000-0010-0000-0000-00000B000000}" name="NFL"/>
    <tableColumn id="12" xr3:uid="{00000000-0010-0000-0000-00000C000000}" name="O/U"/>
    <tableColumn id="13" xr3:uid="{00000000-0010-0000-0000-00000D000000}" name="Clay"/>
    <tableColumn id="14" xr3:uid="{00000000-0010-0000-0000-00000E000000}" name="Avg"/>
    <tableColumn id="15" xr3:uid="{00000000-0010-0000-0000-00000F000000}" name="SD"/>
    <tableColumn id="17" xr3:uid="{D20AC001-EE85-4CE2-B894-56C4179381E4}" name="Z Score" dataDxfId="27">
      <calculatedColumnFormula>(Table_1[[#This Row],[Avg]]-$X$41)/$X$42</calculatedColumnFormula>
    </tableColumn>
    <tableColumn id="18" xr3:uid="{4D4D4182-D096-46F7-B40E-247EC1CE6CF6}" name="Z Test" dataDxfId="26">
      <calculatedColumnFormula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calculatedColumnFormula>
    </tableColumn>
    <tableColumn id="16" xr3:uid="{00000000-0010-0000-0000-000010000000}" name="Rank">
      <calculatedColumnFormula>_xlfn.RANK.EQ(Draft!Q41,Draft!$Q$41:$Q$72)</calculatedColumnFormula>
    </tableColumn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2035A-C9C9-4946-A09A-48C207081FDC}" name="Table2" displayName="Table2" ref="D2:Z32" totalsRowShown="0" headerRowDxfId="25" dataDxfId="24" tableBorderDxfId="23">
  <autoFilter ref="D2:Z32" xr:uid="{A422035A-C9C9-4946-A09A-48C207081FDC}"/>
  <sortState xmlns:xlrd2="http://schemas.microsoft.com/office/spreadsheetml/2017/richdata2" ref="D3:Y32">
    <sortCondition ref="D2:D32"/>
  </sortState>
  <tableColumns count="23">
    <tableColumn id="1" xr3:uid="{53ED3602-F671-4029-8ACF-EAF64C25467B}" name="Pick" dataDxfId="22"/>
    <tableColumn id="2" xr3:uid="{4357B873-83A4-4533-950E-2D85EB363F86}" name="Bum" dataDxfId="21"/>
    <tableColumn id="3" xr3:uid="{220DFFBF-BB2F-46CC-84FC-2D43F7EE1079}" name="Team" dataDxfId="20"/>
    <tableColumn id="4" xr3:uid="{314C235F-8173-4EFA-B950-93E7336039EC}" name="BR" dataDxfId="19">
      <calculatedColumnFormula>VLOOKUP($F3,$F$41:$U$72,G$1,FALSE)</calculatedColumnFormula>
    </tableColumn>
    <tableColumn id="5" xr3:uid="{42228834-BFB7-48EE-800D-7A0877CFFBA4}" name="FPI" dataDxfId="18">
      <calculatedColumnFormula>VLOOKUP($F3,$F$41:$U$72,H$1,FALSE)</calculatedColumnFormula>
    </tableColumn>
    <tableColumn id="6" xr3:uid="{E61A44CF-778C-437F-86E3-9C86996E934C}" name="SI" dataDxfId="17">
      <calculatedColumnFormula>VLOOKUP($F3,$F$41:$U$72,I$1,FALSE)</calculatedColumnFormula>
    </tableColumn>
    <tableColumn id="7" xr3:uid="{0E56B874-6079-45C9-8BCF-1FE8B8A4B956}" name="ESPN" dataDxfId="16">
      <calculatedColumnFormula>VLOOKUP($F3,$F$41:$U$72,J$1,FALSE)</calculatedColumnFormula>
    </tableColumn>
    <tableColumn id="8" xr3:uid="{F0EC1919-584F-4AB8-A230-859023A4BFF5}" name="CBS" dataDxfId="15">
      <calculatedColumnFormula>VLOOKUP($F3,$F$41:$U$72,K$1,FALSE)</calculatedColumnFormula>
    </tableColumn>
    <tableColumn id="9" xr3:uid="{DBD161F8-0489-4F21-8B03-1CA1386D4BB3}" name="Athletic" dataDxfId="14">
      <calculatedColumnFormula>VLOOKUP($F3,$F$41:$U$72,L$1,FALSE)</calculatedColumnFormula>
    </tableColumn>
    <tableColumn id="10" xr3:uid="{A2F2F617-8404-40D1-A334-B0C6E1B36A86}" name="PFF" dataDxfId="13">
      <calculatedColumnFormula>VLOOKUP($F3,$F$41:$U$72,M$1,FALSE)</calculatedColumnFormula>
    </tableColumn>
    <tableColumn id="11" xr3:uid="{CBF10206-0175-4BF8-B6B7-4B077FCE691E}" name="NFL" dataDxfId="12">
      <calculatedColumnFormula>VLOOKUP($F3,$F$41:$U$72,N$1,FALSE)</calculatedColumnFormula>
    </tableColumn>
    <tableColumn id="12" xr3:uid="{9A9D6B88-BBB1-473C-8311-D9EBA322A2C0}" name="O/U" dataDxfId="11">
      <calculatedColumnFormula>VLOOKUP($F3,$F$41:$U$72,O$1,FALSE)</calculatedColumnFormula>
    </tableColumn>
    <tableColumn id="13" xr3:uid="{010FD510-806D-40B7-9420-7C04BB872EB1}" name="Clay" dataDxfId="10">
      <calculatedColumnFormula>VLOOKUP($F3,$F$41:$U$72,P$1,FALSE)</calculatedColumnFormula>
    </tableColumn>
    <tableColumn id="14" xr3:uid="{D41FDC64-4D8B-43AD-BCF1-5E0534FB75C3}" name="Avg Win Total" dataDxfId="9">
      <calculatedColumnFormula>VLOOKUP($F3,$F$41:$U$72,Q$1,FALSE)</calculatedColumnFormula>
    </tableColumn>
    <tableColumn id="15" xr3:uid="{F5347FDF-CA8D-4CFC-9C61-E171047D7620}" name="SD" dataDxfId="8">
      <calculatedColumnFormula>VLOOKUP($F3,$F$41:$U$72,R$1,FALSE)</calculatedColumnFormula>
    </tableColumn>
    <tableColumn id="16" xr3:uid="{4E791668-7E9E-422F-AC35-88BC93A4B35C}" name="Z Score" dataDxfId="7">
      <calculatedColumnFormula>VLOOKUP($F3,$F$41:$U$72,S$1,FALSE)</calculatedColumnFormula>
    </tableColumn>
    <tableColumn id="17" xr3:uid="{B0F30CF3-01BE-414C-87E6-91799DD94F70}" name="Z Test" dataDxfId="6">
      <calculatedColumnFormula>VLOOKUP($F3,$F$41:$U$72,T$1,FALSE)</calculatedColumnFormula>
    </tableColumn>
    <tableColumn id="18" xr3:uid="{289DA544-C9D1-4DD3-B29A-97F4B6EAF52B}" name="Rank" dataDxfId="5">
      <calculatedColumnFormula>VLOOKUP($F3,$F$41:$U$72,U$1,FALSE)</calculatedColumnFormula>
    </tableColumn>
    <tableColumn id="19" xr3:uid="{593F1502-95E0-4C10-893E-CEC1E2E8DBD7}" name="Pick Analysis" dataDxfId="4">
      <calculatedColumnFormula>IF(Table2[[#This Row],[Pick]]&gt;=Table2[[#This Row],[Rank]],1,-1)</calculatedColumnFormula>
    </tableColumn>
    <tableColumn id="20" xr3:uid="{A113B9FE-C553-4F23-B270-7B3FB091A752}" name="Pick Diff" dataDxfId="3">
      <calculatedColumnFormula>Table2[[#This Row],[Pick]]-Table2[[#This Row],[Rank]]</calculatedColumnFormula>
    </tableColumn>
    <tableColumn id="21" xr3:uid="{AF15ED30-6CD8-4A5E-B26E-442EABAC7FF2}" name="PlayerID" dataDxfId="2"/>
    <tableColumn id="22" xr3:uid="{E08261AC-C166-4684-AAC3-84061F20D012}" name="T1" dataDxfId="1"/>
    <tableColumn id="23" xr3:uid="{CE626BE7-7EFE-4016-BCF9-89C9683A64EC}" name="Column2" dataDxfId="0">
      <calculatedColumnFormula>"2024,"&amp;Table2[[#This Row],[Pick]]&amp;","&amp;Table2[[#This Row],[PlayerID]]&amp;","&amp;Table2[[#This Row],[T1]]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portingnews.com/ca/nfl/news/nfl-predictions-2022-final-standings-playoff-projections-super-bowl-57-pick/ndlfgncubaugwx6xdolpxxqb" TargetMode="External"/><Relationship Id="rId1" Type="http://schemas.openxmlformats.org/officeDocument/2006/relationships/hyperlink" Target="https://www.cbssports.com/nfl/news/2022-nfl-preview-bold-predictions-final-record-for-each-team-plus-playoff-picks-and-super-bowl-lvii-winner/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00"/>
  <sheetViews>
    <sheetView workbookViewId="0">
      <selection activeCell="E10" sqref="E10"/>
    </sheetView>
  </sheetViews>
  <sheetFormatPr defaultColWidth="14.42578125" defaultRowHeight="15" customHeight="1" x14ac:dyDescent="0.25"/>
  <cols>
    <col min="1" max="1" width="8.85546875" customWidth="1"/>
    <col min="2" max="2" width="20" customWidth="1"/>
    <col min="3" max="3" width="9.85546875" customWidth="1"/>
    <col min="4" max="8" width="13.28515625" customWidth="1"/>
    <col min="9" max="26" width="8.7109375" customWidth="1"/>
  </cols>
  <sheetData>
    <row r="1" spans="1:8" x14ac:dyDescent="0.25">
      <c r="B1" s="1"/>
      <c r="C1" s="1"/>
      <c r="H1" s="1"/>
    </row>
    <row r="2" spans="1:8" x14ac:dyDescent="0.25">
      <c r="B2" s="1"/>
      <c r="C2" s="1"/>
      <c r="H2" s="1"/>
    </row>
    <row r="3" spans="1:8" x14ac:dyDescent="0.25">
      <c r="A3" s="15"/>
      <c r="B3" s="16" t="s">
        <v>69</v>
      </c>
      <c r="C3" s="17"/>
      <c r="D3" s="17"/>
      <c r="E3" s="18"/>
    </row>
    <row r="4" spans="1:8" x14ac:dyDescent="0.25">
      <c r="A4" s="16" t="s">
        <v>0</v>
      </c>
      <c r="B4" s="15" t="s">
        <v>1</v>
      </c>
      <c r="C4" s="19" t="s">
        <v>2</v>
      </c>
      <c r="D4" s="19" t="s">
        <v>78</v>
      </c>
      <c r="E4" s="20" t="s">
        <v>80</v>
      </c>
      <c r="F4" t="s">
        <v>74</v>
      </c>
    </row>
    <row r="5" spans="1:8" x14ac:dyDescent="0.25">
      <c r="A5" s="15" t="s">
        <v>5</v>
      </c>
      <c r="B5" s="21">
        <v>27.296709999999997</v>
      </c>
      <c r="C5" s="22">
        <v>2.9732032932151391</v>
      </c>
      <c r="D5" s="23">
        <v>43</v>
      </c>
      <c r="E5" s="24">
        <v>3</v>
      </c>
    </row>
    <row r="6" spans="1:8" x14ac:dyDescent="0.25">
      <c r="A6" s="25" t="s">
        <v>9</v>
      </c>
      <c r="B6" s="26">
        <v>27.26107</v>
      </c>
      <c r="C6" s="11">
        <v>2.4648227262738369</v>
      </c>
      <c r="D6" s="27">
        <v>41</v>
      </c>
      <c r="E6" s="28">
        <v>1</v>
      </c>
    </row>
    <row r="7" spans="1:8" x14ac:dyDescent="0.25">
      <c r="A7" s="25" t="s">
        <v>3</v>
      </c>
      <c r="B7" s="26">
        <v>27.070989999999998</v>
      </c>
      <c r="C7" s="11">
        <v>2.2989053416689584</v>
      </c>
      <c r="D7" s="27">
        <v>42</v>
      </c>
      <c r="E7" s="28">
        <v>-1</v>
      </c>
    </row>
    <row r="8" spans="1:8" x14ac:dyDescent="0.25">
      <c r="A8" s="25" t="s">
        <v>4</v>
      </c>
      <c r="B8" s="26">
        <v>26.90297</v>
      </c>
      <c r="C8" s="11">
        <v>2.2817561012559233</v>
      </c>
      <c r="D8" s="27">
        <v>44</v>
      </c>
      <c r="E8" s="28">
        <v>1</v>
      </c>
    </row>
    <row r="9" spans="1:8" x14ac:dyDescent="0.25">
      <c r="A9" s="25" t="s">
        <v>8</v>
      </c>
      <c r="B9" s="26">
        <v>26.779069999999997</v>
      </c>
      <c r="C9" s="11">
        <v>2.5568188681701978</v>
      </c>
      <c r="D9" s="27">
        <v>42</v>
      </c>
      <c r="E9" s="28">
        <v>3</v>
      </c>
    </row>
    <row r="10" spans="1:8" x14ac:dyDescent="0.25">
      <c r="A10" s="25" t="s">
        <v>6</v>
      </c>
      <c r="B10" s="26">
        <v>26.225879999999997</v>
      </c>
      <c r="C10" s="11">
        <v>2.3038180678332645</v>
      </c>
      <c r="D10" s="27">
        <v>45</v>
      </c>
      <c r="E10" s="28">
        <v>1</v>
      </c>
    </row>
    <row r="11" spans="1:8" x14ac:dyDescent="0.25">
      <c r="A11" s="25" t="s">
        <v>75</v>
      </c>
      <c r="B11" s="26">
        <v>26.036899999999999</v>
      </c>
      <c r="C11" s="11">
        <v>2.7135743488958655</v>
      </c>
      <c r="D11" s="27">
        <v>46</v>
      </c>
      <c r="E11" s="28">
        <v>1</v>
      </c>
    </row>
    <row r="12" spans="1:8" x14ac:dyDescent="0.25">
      <c r="A12" s="25" t="s">
        <v>10</v>
      </c>
      <c r="B12" s="26">
        <v>25.63636</v>
      </c>
      <c r="C12" s="11">
        <v>3.0899714555666256</v>
      </c>
      <c r="D12" s="27">
        <v>49</v>
      </c>
      <c r="E12" s="28">
        <v>-1</v>
      </c>
    </row>
    <row r="13" spans="1:8" x14ac:dyDescent="0.25">
      <c r="A13" s="25" t="s">
        <v>70</v>
      </c>
      <c r="B13" s="26">
        <v>24.289270000000002</v>
      </c>
      <c r="C13" s="11">
        <v>2.083199161431661</v>
      </c>
      <c r="D13" s="27">
        <v>55</v>
      </c>
      <c r="E13" s="28">
        <v>-1</v>
      </c>
    </row>
    <row r="14" spans="1:8" x14ac:dyDescent="0.25">
      <c r="A14" s="29" t="s">
        <v>7</v>
      </c>
      <c r="B14" s="30">
        <v>24.06052</v>
      </c>
      <c r="C14" s="31">
        <v>2.6826359139636842</v>
      </c>
      <c r="D14" s="32">
        <v>58</v>
      </c>
      <c r="E14" s="33">
        <v>-1</v>
      </c>
    </row>
    <row r="15" spans="1:8" x14ac:dyDescent="0.25">
      <c r="B15" s="1"/>
      <c r="C15" s="1"/>
      <c r="H15" s="1"/>
    </row>
    <row r="16" spans="1:8" x14ac:dyDescent="0.25">
      <c r="B16" s="1"/>
      <c r="C16" s="1"/>
      <c r="H16" s="1"/>
    </row>
    <row r="17" spans="2:8" x14ac:dyDescent="0.25">
      <c r="B17" s="1"/>
      <c r="C17" s="1"/>
      <c r="H17" s="1"/>
    </row>
    <row r="18" spans="2:8" x14ac:dyDescent="0.25">
      <c r="B18" s="1"/>
      <c r="C18" s="1"/>
      <c r="H18" s="1"/>
    </row>
    <row r="19" spans="2:8" x14ac:dyDescent="0.25">
      <c r="B19" s="1"/>
      <c r="C19" s="1"/>
      <c r="H19" s="1"/>
    </row>
    <row r="20" spans="2:8" x14ac:dyDescent="0.25">
      <c r="B20" s="1"/>
      <c r="C20" s="1"/>
      <c r="H20" s="1"/>
    </row>
    <row r="21" spans="2:8" ht="15.75" customHeight="1" x14ac:dyDescent="0.25">
      <c r="B21" s="1"/>
      <c r="C21" s="1"/>
      <c r="H21" s="1"/>
    </row>
    <row r="22" spans="2:8" ht="15.75" customHeight="1" x14ac:dyDescent="0.25">
      <c r="B22" s="1"/>
      <c r="C22" s="1"/>
      <c r="H22" s="1"/>
    </row>
    <row r="23" spans="2:8" ht="15.75" customHeight="1" x14ac:dyDescent="0.25">
      <c r="B23" s="1"/>
      <c r="C23" s="1"/>
      <c r="H23" s="1"/>
    </row>
    <row r="24" spans="2:8" ht="15.75" customHeight="1" x14ac:dyDescent="0.25">
      <c r="B24" s="1"/>
      <c r="C24" s="1"/>
      <c r="H24" s="1"/>
    </row>
    <row r="25" spans="2:8" ht="15.75" customHeight="1" x14ac:dyDescent="0.25">
      <c r="B25" s="1"/>
      <c r="C25" s="1"/>
      <c r="H25" s="1"/>
    </row>
    <row r="26" spans="2:8" ht="15.75" customHeight="1" x14ac:dyDescent="0.25">
      <c r="B26" s="1"/>
      <c r="C26" s="1"/>
      <c r="H26" s="1"/>
    </row>
    <row r="27" spans="2:8" ht="15.75" customHeight="1" x14ac:dyDescent="0.25">
      <c r="B27" s="1"/>
      <c r="C27" s="1"/>
      <c r="H27" s="1"/>
    </row>
    <row r="28" spans="2:8" ht="15.75" customHeight="1" x14ac:dyDescent="0.25">
      <c r="B28" s="1"/>
      <c r="C28" s="1"/>
      <c r="H28" s="1"/>
    </row>
    <row r="29" spans="2:8" ht="15.75" customHeight="1" x14ac:dyDescent="0.25">
      <c r="B29" s="1"/>
      <c r="C29" s="1"/>
      <c r="H29" s="1"/>
    </row>
    <row r="30" spans="2:8" ht="15.75" customHeight="1" x14ac:dyDescent="0.25">
      <c r="B30" s="1"/>
      <c r="C30" s="1"/>
      <c r="H30" s="1"/>
    </row>
    <row r="31" spans="2:8" ht="15.75" customHeight="1" x14ac:dyDescent="0.25">
      <c r="B31" s="1"/>
      <c r="C31" s="1"/>
      <c r="H31" s="1"/>
    </row>
    <row r="32" spans="2:8" ht="15.75" customHeight="1" x14ac:dyDescent="0.25">
      <c r="B32" s="1"/>
      <c r="C32" s="1"/>
      <c r="H32" s="1"/>
    </row>
    <row r="33" spans="2:8" ht="15.75" customHeight="1" x14ac:dyDescent="0.25">
      <c r="B33" s="1"/>
      <c r="C33" s="1"/>
      <c r="H33" s="1"/>
    </row>
    <row r="34" spans="2:8" ht="15.75" customHeight="1" x14ac:dyDescent="0.25">
      <c r="B34" s="1"/>
      <c r="C34" s="1"/>
      <c r="H34" s="1"/>
    </row>
    <row r="35" spans="2:8" ht="15.75" customHeight="1" x14ac:dyDescent="0.25">
      <c r="B35" s="1"/>
      <c r="C35" s="1"/>
      <c r="H35" s="1"/>
    </row>
    <row r="36" spans="2:8" ht="15.75" customHeight="1" x14ac:dyDescent="0.25">
      <c r="B36" s="1"/>
      <c r="C36" s="1"/>
      <c r="H36" s="1"/>
    </row>
    <row r="37" spans="2:8" ht="15.75" customHeight="1" x14ac:dyDescent="0.25">
      <c r="B37" s="1"/>
      <c r="C37" s="1"/>
      <c r="H37" s="1"/>
    </row>
    <row r="38" spans="2:8" ht="15.75" customHeight="1" x14ac:dyDescent="0.25">
      <c r="B38" s="1"/>
      <c r="C38" s="1"/>
      <c r="H38" s="1"/>
    </row>
    <row r="39" spans="2:8" ht="15.75" customHeight="1" x14ac:dyDescent="0.25">
      <c r="B39" s="1"/>
      <c r="C39" s="1"/>
      <c r="H39" s="1"/>
    </row>
    <row r="40" spans="2:8" ht="15.75" customHeight="1" x14ac:dyDescent="0.25">
      <c r="B40" s="1"/>
      <c r="C40" s="1"/>
      <c r="H40" s="1"/>
    </row>
    <row r="41" spans="2:8" ht="15.75" customHeight="1" x14ac:dyDescent="0.25">
      <c r="B41" s="1"/>
      <c r="C41" s="1"/>
      <c r="H41" s="1"/>
    </row>
    <row r="42" spans="2:8" ht="15.75" customHeight="1" x14ac:dyDescent="0.25">
      <c r="B42" s="1"/>
      <c r="C42" s="1"/>
      <c r="H42" s="1"/>
    </row>
    <row r="43" spans="2:8" ht="15.75" customHeight="1" x14ac:dyDescent="0.25">
      <c r="B43" s="1"/>
      <c r="C43" s="1"/>
      <c r="H43" s="1"/>
    </row>
    <row r="44" spans="2:8" ht="15.75" customHeight="1" x14ac:dyDescent="0.25">
      <c r="B44" s="1"/>
      <c r="C44" s="1"/>
      <c r="H44" s="1"/>
    </row>
    <row r="45" spans="2:8" ht="15.75" customHeight="1" x14ac:dyDescent="0.25">
      <c r="B45" s="1"/>
      <c r="C45" s="1"/>
      <c r="H45" s="1"/>
    </row>
    <row r="46" spans="2:8" ht="15.75" customHeight="1" x14ac:dyDescent="0.25">
      <c r="B46" s="1"/>
      <c r="C46" s="1"/>
      <c r="H46" s="1"/>
    </row>
    <row r="47" spans="2:8" ht="15.75" customHeight="1" x14ac:dyDescent="0.25">
      <c r="B47" s="1"/>
      <c r="C47" s="1"/>
      <c r="H47" s="1"/>
    </row>
    <row r="48" spans="2:8" ht="15.75" customHeight="1" x14ac:dyDescent="0.25">
      <c r="B48" s="1"/>
      <c r="C48" s="1"/>
      <c r="H48" s="1"/>
    </row>
    <row r="49" spans="2:8" ht="15.75" customHeight="1" x14ac:dyDescent="0.25">
      <c r="B49" s="1"/>
      <c r="C49" s="1"/>
      <c r="H49" s="1"/>
    </row>
    <row r="50" spans="2:8" ht="15.75" customHeight="1" x14ac:dyDescent="0.25">
      <c r="B50" s="1"/>
      <c r="C50" s="1"/>
      <c r="H50" s="1"/>
    </row>
    <row r="51" spans="2:8" ht="15.75" customHeight="1" x14ac:dyDescent="0.25">
      <c r="B51" s="1"/>
      <c r="C51" s="1"/>
      <c r="H51" s="1"/>
    </row>
    <row r="52" spans="2:8" ht="15.75" customHeight="1" x14ac:dyDescent="0.25">
      <c r="B52" s="1"/>
      <c r="C52" s="1"/>
      <c r="H52" s="1"/>
    </row>
    <row r="53" spans="2:8" ht="15.75" customHeight="1" x14ac:dyDescent="0.25">
      <c r="B53" s="1"/>
      <c r="C53" s="1"/>
      <c r="H53" s="1"/>
    </row>
    <row r="54" spans="2:8" ht="15.75" customHeight="1" x14ac:dyDescent="0.25">
      <c r="B54" s="1"/>
      <c r="C54" s="1"/>
      <c r="H54" s="1"/>
    </row>
    <row r="55" spans="2:8" ht="15.75" customHeight="1" x14ac:dyDescent="0.25">
      <c r="B55" s="1"/>
      <c r="C55" s="1"/>
      <c r="H55" s="1"/>
    </row>
    <row r="56" spans="2:8" ht="15.75" customHeight="1" x14ac:dyDescent="0.25">
      <c r="B56" s="1"/>
      <c r="C56" s="1"/>
      <c r="H56" s="1"/>
    </row>
    <row r="57" spans="2:8" ht="15.75" customHeight="1" x14ac:dyDescent="0.25">
      <c r="B57" s="1"/>
      <c r="C57" s="1"/>
      <c r="H57" s="1"/>
    </row>
    <row r="58" spans="2:8" ht="15.75" customHeight="1" x14ac:dyDescent="0.25">
      <c r="B58" s="1"/>
      <c r="C58" s="1"/>
      <c r="H58" s="1"/>
    </row>
    <row r="59" spans="2:8" ht="15.75" customHeight="1" x14ac:dyDescent="0.25">
      <c r="B59" s="1"/>
      <c r="C59" s="1"/>
      <c r="H59" s="1"/>
    </row>
    <row r="60" spans="2:8" ht="15.75" customHeight="1" x14ac:dyDescent="0.25">
      <c r="B60" s="1"/>
      <c r="C60" s="1"/>
      <c r="H60" s="1"/>
    </row>
    <row r="61" spans="2:8" ht="15.75" customHeight="1" x14ac:dyDescent="0.25">
      <c r="B61" s="1"/>
      <c r="C61" s="1"/>
      <c r="H61" s="1"/>
    </row>
    <row r="62" spans="2:8" ht="15.75" customHeight="1" x14ac:dyDescent="0.25">
      <c r="B62" s="1"/>
      <c r="C62" s="1"/>
      <c r="H62" s="1"/>
    </row>
    <row r="63" spans="2:8" ht="15.75" customHeight="1" x14ac:dyDescent="0.25">
      <c r="B63" s="1"/>
      <c r="C63" s="1"/>
      <c r="H63" s="1"/>
    </row>
    <row r="64" spans="2:8" ht="15.75" customHeight="1" x14ac:dyDescent="0.25">
      <c r="B64" s="1"/>
      <c r="C64" s="1"/>
      <c r="H64" s="1"/>
    </row>
    <row r="65" spans="2:8" ht="15.75" customHeight="1" x14ac:dyDescent="0.25">
      <c r="B65" s="1"/>
      <c r="C65" s="1"/>
      <c r="H65" s="1"/>
    </row>
    <row r="66" spans="2:8" ht="15.75" customHeight="1" x14ac:dyDescent="0.25">
      <c r="B66" s="1"/>
      <c r="C66" s="1"/>
      <c r="H66" s="1"/>
    </row>
    <row r="67" spans="2:8" ht="15.75" customHeight="1" x14ac:dyDescent="0.25">
      <c r="B67" s="1"/>
      <c r="C67" s="1"/>
      <c r="H67" s="1"/>
    </row>
    <row r="68" spans="2:8" ht="15.75" customHeight="1" x14ac:dyDescent="0.25">
      <c r="B68" s="1"/>
      <c r="C68" s="1"/>
      <c r="H68" s="1"/>
    </row>
    <row r="69" spans="2:8" ht="15.75" customHeight="1" x14ac:dyDescent="0.25">
      <c r="B69" s="1"/>
      <c r="C69" s="1"/>
      <c r="H69" s="1"/>
    </row>
    <row r="70" spans="2:8" ht="15.75" customHeight="1" x14ac:dyDescent="0.25">
      <c r="B70" s="1"/>
      <c r="C70" s="1"/>
      <c r="H70" s="1"/>
    </row>
    <row r="71" spans="2:8" ht="15.75" customHeight="1" x14ac:dyDescent="0.25">
      <c r="B71" s="1"/>
      <c r="C71" s="1"/>
      <c r="H71" s="1"/>
    </row>
    <row r="72" spans="2:8" ht="15.75" customHeight="1" x14ac:dyDescent="0.25">
      <c r="B72" s="1"/>
      <c r="C72" s="1"/>
      <c r="H72" s="1"/>
    </row>
    <row r="73" spans="2:8" ht="15.75" customHeight="1" x14ac:dyDescent="0.25">
      <c r="B73" s="1"/>
      <c r="C73" s="1"/>
      <c r="H73" s="1"/>
    </row>
    <row r="74" spans="2:8" ht="15.75" customHeight="1" x14ac:dyDescent="0.25">
      <c r="B74" s="1"/>
      <c r="C74" s="1"/>
      <c r="H74" s="1"/>
    </row>
    <row r="75" spans="2:8" ht="15.75" customHeight="1" x14ac:dyDescent="0.25">
      <c r="B75" s="1"/>
      <c r="C75" s="1"/>
      <c r="H75" s="1"/>
    </row>
    <row r="76" spans="2:8" ht="15.75" customHeight="1" x14ac:dyDescent="0.25">
      <c r="B76" s="1"/>
      <c r="C76" s="1"/>
      <c r="H76" s="1"/>
    </row>
    <row r="77" spans="2:8" ht="15.75" customHeight="1" x14ac:dyDescent="0.25">
      <c r="B77" s="1"/>
      <c r="C77" s="1"/>
      <c r="H77" s="1"/>
    </row>
    <row r="78" spans="2:8" ht="15.75" customHeight="1" x14ac:dyDescent="0.25">
      <c r="B78" s="1"/>
      <c r="C78" s="1"/>
      <c r="H78" s="1"/>
    </row>
    <row r="79" spans="2:8" ht="15.75" customHeight="1" x14ac:dyDescent="0.25">
      <c r="B79" s="1"/>
      <c r="C79" s="1"/>
      <c r="H79" s="1"/>
    </row>
    <row r="80" spans="2:8" ht="15.75" customHeight="1" x14ac:dyDescent="0.25">
      <c r="B80" s="1"/>
      <c r="C80" s="1"/>
      <c r="H80" s="1"/>
    </row>
    <row r="81" spans="2:8" ht="15.75" customHeight="1" x14ac:dyDescent="0.25">
      <c r="B81" s="1"/>
      <c r="C81" s="1"/>
      <c r="H81" s="1"/>
    </row>
    <row r="82" spans="2:8" ht="15.75" customHeight="1" x14ac:dyDescent="0.25">
      <c r="B82" s="1"/>
      <c r="C82" s="1"/>
      <c r="H82" s="1"/>
    </row>
    <row r="83" spans="2:8" ht="15.75" customHeight="1" x14ac:dyDescent="0.25">
      <c r="B83" s="1"/>
      <c r="C83" s="1"/>
      <c r="H83" s="1"/>
    </row>
    <row r="84" spans="2:8" ht="15.75" customHeight="1" x14ac:dyDescent="0.25">
      <c r="B84" s="1"/>
      <c r="C84" s="1"/>
      <c r="H84" s="1"/>
    </row>
    <row r="85" spans="2:8" ht="15.75" customHeight="1" x14ac:dyDescent="0.25">
      <c r="B85" s="1"/>
      <c r="C85" s="1"/>
      <c r="H85" s="1"/>
    </row>
    <row r="86" spans="2:8" ht="15.75" customHeight="1" x14ac:dyDescent="0.25">
      <c r="B86" s="1"/>
      <c r="C86" s="1"/>
      <c r="H86" s="1"/>
    </row>
    <row r="87" spans="2:8" ht="15.75" customHeight="1" x14ac:dyDescent="0.25">
      <c r="B87" s="1"/>
      <c r="C87" s="1"/>
      <c r="H87" s="1"/>
    </row>
    <row r="88" spans="2:8" ht="15.75" customHeight="1" x14ac:dyDescent="0.25">
      <c r="B88" s="1"/>
      <c r="C88" s="1"/>
      <c r="H88" s="1"/>
    </row>
    <row r="89" spans="2:8" ht="15.75" customHeight="1" x14ac:dyDescent="0.25">
      <c r="B89" s="1"/>
      <c r="C89" s="1"/>
      <c r="H89" s="1"/>
    </row>
    <row r="90" spans="2:8" ht="15.75" customHeight="1" x14ac:dyDescent="0.25">
      <c r="B90" s="1"/>
      <c r="C90" s="1"/>
      <c r="H90" s="1"/>
    </row>
    <row r="91" spans="2:8" ht="15.75" customHeight="1" x14ac:dyDescent="0.25">
      <c r="B91" s="1"/>
      <c r="C91" s="1"/>
      <c r="H91" s="1"/>
    </row>
    <row r="92" spans="2:8" ht="15.75" customHeight="1" x14ac:dyDescent="0.25">
      <c r="B92" s="1"/>
      <c r="C92" s="1"/>
      <c r="H92" s="1"/>
    </row>
    <row r="93" spans="2:8" ht="15.75" customHeight="1" x14ac:dyDescent="0.25">
      <c r="B93" s="1"/>
      <c r="C93" s="1"/>
      <c r="H93" s="1"/>
    </row>
    <row r="94" spans="2:8" ht="15.75" customHeight="1" x14ac:dyDescent="0.25">
      <c r="B94" s="1"/>
      <c r="C94" s="1"/>
      <c r="H94" s="1"/>
    </row>
    <row r="95" spans="2:8" ht="15.75" customHeight="1" x14ac:dyDescent="0.25">
      <c r="B95" s="1"/>
      <c r="C95" s="1"/>
      <c r="H95" s="1"/>
    </row>
    <row r="96" spans="2:8" ht="15.75" customHeight="1" x14ac:dyDescent="0.25">
      <c r="B96" s="1"/>
      <c r="C96" s="1"/>
      <c r="H96" s="1"/>
    </row>
    <row r="97" spans="2:8" ht="15.75" customHeight="1" x14ac:dyDescent="0.25">
      <c r="B97" s="1"/>
      <c r="C97" s="1"/>
      <c r="H97" s="1"/>
    </row>
    <row r="98" spans="2:8" ht="15.75" customHeight="1" x14ac:dyDescent="0.25">
      <c r="B98" s="1"/>
      <c r="C98" s="1"/>
      <c r="H98" s="1"/>
    </row>
    <row r="99" spans="2:8" ht="15.75" customHeight="1" x14ac:dyDescent="0.25">
      <c r="B99" s="1"/>
      <c r="C99" s="1"/>
      <c r="H99" s="1"/>
    </row>
    <row r="100" spans="2:8" ht="15.75" customHeight="1" x14ac:dyDescent="0.25">
      <c r="B100" s="1"/>
      <c r="C100" s="1"/>
      <c r="H100" s="1"/>
    </row>
    <row r="101" spans="2:8" ht="15.75" customHeight="1" x14ac:dyDescent="0.25">
      <c r="B101" s="1"/>
      <c r="C101" s="1"/>
      <c r="H101" s="1"/>
    </row>
    <row r="102" spans="2:8" ht="15.75" customHeight="1" x14ac:dyDescent="0.25">
      <c r="B102" s="1"/>
      <c r="C102" s="1"/>
      <c r="H102" s="1"/>
    </row>
    <row r="103" spans="2:8" ht="15.75" customHeight="1" x14ac:dyDescent="0.25">
      <c r="B103" s="1"/>
      <c r="C103" s="1"/>
      <c r="H103" s="1"/>
    </row>
    <row r="104" spans="2:8" ht="15.75" customHeight="1" x14ac:dyDescent="0.25">
      <c r="B104" s="1"/>
      <c r="C104" s="1"/>
      <c r="H104" s="1"/>
    </row>
    <row r="105" spans="2:8" ht="15.75" customHeight="1" x14ac:dyDescent="0.25">
      <c r="B105" s="1"/>
      <c r="C105" s="1"/>
      <c r="H105" s="1"/>
    </row>
    <row r="106" spans="2:8" ht="15.75" customHeight="1" x14ac:dyDescent="0.25">
      <c r="B106" s="1"/>
      <c r="C106" s="1"/>
      <c r="H106" s="1"/>
    </row>
    <row r="107" spans="2:8" ht="15.75" customHeight="1" x14ac:dyDescent="0.25">
      <c r="B107" s="1"/>
      <c r="C107" s="1"/>
      <c r="H107" s="1"/>
    </row>
    <row r="108" spans="2:8" ht="15.75" customHeight="1" x14ac:dyDescent="0.25">
      <c r="B108" s="1"/>
      <c r="C108" s="1"/>
      <c r="H108" s="1"/>
    </row>
    <row r="109" spans="2:8" ht="15.75" customHeight="1" x14ac:dyDescent="0.25">
      <c r="B109" s="1"/>
      <c r="C109" s="1"/>
      <c r="H109" s="1"/>
    </row>
    <row r="110" spans="2:8" ht="15.75" customHeight="1" x14ac:dyDescent="0.25">
      <c r="B110" s="1"/>
      <c r="C110" s="1"/>
      <c r="H110" s="1"/>
    </row>
    <row r="111" spans="2:8" ht="15.75" customHeight="1" x14ac:dyDescent="0.25">
      <c r="B111" s="1"/>
      <c r="C111" s="1"/>
      <c r="H111" s="1"/>
    </row>
    <row r="112" spans="2:8" ht="15.75" customHeight="1" x14ac:dyDescent="0.25">
      <c r="B112" s="1"/>
      <c r="C112" s="1"/>
      <c r="H112" s="1"/>
    </row>
    <row r="113" spans="2:8" ht="15.75" customHeight="1" x14ac:dyDescent="0.25">
      <c r="B113" s="1"/>
      <c r="C113" s="1"/>
      <c r="H113" s="1"/>
    </row>
    <row r="114" spans="2:8" ht="15.75" customHeight="1" x14ac:dyDescent="0.25">
      <c r="B114" s="1"/>
      <c r="C114" s="1"/>
      <c r="H114" s="1"/>
    </row>
    <row r="115" spans="2:8" ht="15.75" customHeight="1" x14ac:dyDescent="0.25">
      <c r="B115" s="1"/>
      <c r="C115" s="1"/>
      <c r="H115" s="1"/>
    </row>
    <row r="116" spans="2:8" ht="15.75" customHeight="1" x14ac:dyDescent="0.25">
      <c r="B116" s="1"/>
      <c r="C116" s="1"/>
      <c r="H116" s="1"/>
    </row>
    <row r="117" spans="2:8" ht="15.75" customHeight="1" x14ac:dyDescent="0.25">
      <c r="B117" s="1"/>
      <c r="C117" s="1"/>
      <c r="H117" s="1"/>
    </row>
    <row r="118" spans="2:8" ht="15.75" customHeight="1" x14ac:dyDescent="0.25">
      <c r="B118" s="1"/>
      <c r="C118" s="1"/>
      <c r="H118" s="1"/>
    </row>
    <row r="119" spans="2:8" ht="15.75" customHeight="1" x14ac:dyDescent="0.25">
      <c r="B119" s="1"/>
      <c r="C119" s="1"/>
      <c r="H119" s="1"/>
    </row>
    <row r="120" spans="2:8" ht="15.75" customHeight="1" x14ac:dyDescent="0.25">
      <c r="B120" s="1"/>
      <c r="C120" s="1"/>
      <c r="H120" s="1"/>
    </row>
    <row r="121" spans="2:8" ht="15.75" customHeight="1" x14ac:dyDescent="0.25">
      <c r="B121" s="1"/>
      <c r="C121" s="1"/>
      <c r="H121" s="1"/>
    </row>
    <row r="122" spans="2:8" ht="15.75" customHeight="1" x14ac:dyDescent="0.25">
      <c r="B122" s="1"/>
      <c r="C122" s="1"/>
      <c r="H122" s="1"/>
    </row>
    <row r="123" spans="2:8" ht="15.75" customHeight="1" x14ac:dyDescent="0.25">
      <c r="B123" s="1"/>
      <c r="C123" s="1"/>
      <c r="H123" s="1"/>
    </row>
    <row r="124" spans="2:8" ht="15.75" customHeight="1" x14ac:dyDescent="0.25">
      <c r="B124" s="1"/>
      <c r="C124" s="1"/>
      <c r="H124" s="1"/>
    </row>
    <row r="125" spans="2:8" ht="15.75" customHeight="1" x14ac:dyDescent="0.25">
      <c r="B125" s="1"/>
      <c r="C125" s="1"/>
      <c r="H125" s="1"/>
    </row>
    <row r="126" spans="2:8" ht="15.75" customHeight="1" x14ac:dyDescent="0.25">
      <c r="B126" s="1"/>
      <c r="C126" s="1"/>
      <c r="H126" s="1"/>
    </row>
    <row r="127" spans="2:8" ht="15.75" customHeight="1" x14ac:dyDescent="0.25">
      <c r="B127" s="1"/>
      <c r="C127" s="1"/>
      <c r="H127" s="1"/>
    </row>
    <row r="128" spans="2:8" ht="15.75" customHeight="1" x14ac:dyDescent="0.25">
      <c r="B128" s="1"/>
      <c r="C128" s="1"/>
      <c r="H128" s="1"/>
    </row>
    <row r="129" spans="2:8" ht="15.75" customHeight="1" x14ac:dyDescent="0.25">
      <c r="B129" s="1"/>
      <c r="C129" s="1"/>
      <c r="H129" s="1"/>
    </row>
    <row r="130" spans="2:8" ht="15.75" customHeight="1" x14ac:dyDescent="0.25">
      <c r="B130" s="1"/>
      <c r="C130" s="1"/>
      <c r="H130" s="1"/>
    </row>
    <row r="131" spans="2:8" ht="15.75" customHeight="1" x14ac:dyDescent="0.25">
      <c r="B131" s="1"/>
      <c r="C131" s="1"/>
      <c r="H131" s="1"/>
    </row>
    <row r="132" spans="2:8" ht="15.75" customHeight="1" x14ac:dyDescent="0.25">
      <c r="B132" s="1"/>
      <c r="C132" s="1"/>
      <c r="H132" s="1"/>
    </row>
    <row r="133" spans="2:8" ht="15.75" customHeight="1" x14ac:dyDescent="0.25">
      <c r="B133" s="1"/>
      <c r="C133" s="1"/>
      <c r="H133" s="1"/>
    </row>
    <row r="134" spans="2:8" ht="15.75" customHeight="1" x14ac:dyDescent="0.25">
      <c r="B134" s="1"/>
      <c r="C134" s="1"/>
      <c r="H134" s="1"/>
    </row>
    <row r="135" spans="2:8" ht="15.75" customHeight="1" x14ac:dyDescent="0.25">
      <c r="B135" s="1"/>
      <c r="C135" s="1"/>
      <c r="H135" s="1"/>
    </row>
    <row r="136" spans="2:8" ht="15.75" customHeight="1" x14ac:dyDescent="0.25">
      <c r="B136" s="1"/>
      <c r="C136" s="1"/>
      <c r="H136" s="1"/>
    </row>
    <row r="137" spans="2:8" ht="15.75" customHeight="1" x14ac:dyDescent="0.25">
      <c r="B137" s="1"/>
      <c r="C137" s="1"/>
      <c r="H137" s="1"/>
    </row>
    <row r="138" spans="2:8" ht="15.75" customHeight="1" x14ac:dyDescent="0.25">
      <c r="B138" s="1"/>
      <c r="C138" s="1"/>
      <c r="H138" s="1"/>
    </row>
    <row r="139" spans="2:8" ht="15.75" customHeight="1" x14ac:dyDescent="0.25">
      <c r="B139" s="1"/>
      <c r="C139" s="1"/>
      <c r="H139" s="1"/>
    </row>
    <row r="140" spans="2:8" ht="15.75" customHeight="1" x14ac:dyDescent="0.25">
      <c r="B140" s="1"/>
      <c r="C140" s="1"/>
      <c r="H140" s="1"/>
    </row>
    <row r="141" spans="2:8" ht="15.75" customHeight="1" x14ac:dyDescent="0.25">
      <c r="B141" s="1"/>
      <c r="C141" s="1"/>
      <c r="H141" s="1"/>
    </row>
    <row r="142" spans="2:8" ht="15.75" customHeight="1" x14ac:dyDescent="0.25">
      <c r="B142" s="1"/>
      <c r="C142" s="1"/>
      <c r="H142" s="1"/>
    </row>
    <row r="143" spans="2:8" ht="15.75" customHeight="1" x14ac:dyDescent="0.25">
      <c r="B143" s="1"/>
      <c r="C143" s="1"/>
      <c r="H143" s="1"/>
    </row>
    <row r="144" spans="2:8" ht="15.75" customHeight="1" x14ac:dyDescent="0.25">
      <c r="B144" s="1"/>
      <c r="C144" s="1"/>
      <c r="H144" s="1"/>
    </row>
    <row r="145" spans="2:8" ht="15.75" customHeight="1" x14ac:dyDescent="0.25">
      <c r="B145" s="1"/>
      <c r="C145" s="1"/>
      <c r="H145" s="1"/>
    </row>
    <row r="146" spans="2:8" ht="15.75" customHeight="1" x14ac:dyDescent="0.25">
      <c r="B146" s="1"/>
      <c r="C146" s="1"/>
      <c r="H146" s="1"/>
    </row>
    <row r="147" spans="2:8" ht="15.75" customHeight="1" x14ac:dyDescent="0.25">
      <c r="B147" s="1"/>
      <c r="C147" s="1"/>
      <c r="H147" s="1"/>
    </row>
    <row r="148" spans="2:8" ht="15.75" customHeight="1" x14ac:dyDescent="0.25">
      <c r="B148" s="1"/>
      <c r="C148" s="1"/>
      <c r="H148" s="1"/>
    </row>
    <row r="149" spans="2:8" ht="15.75" customHeight="1" x14ac:dyDescent="0.25">
      <c r="B149" s="1"/>
      <c r="C149" s="1"/>
      <c r="H149" s="1"/>
    </row>
    <row r="150" spans="2:8" ht="15.75" customHeight="1" x14ac:dyDescent="0.25">
      <c r="B150" s="1"/>
      <c r="C150" s="1"/>
      <c r="H150" s="1"/>
    </row>
    <row r="151" spans="2:8" ht="15.75" customHeight="1" x14ac:dyDescent="0.25">
      <c r="B151" s="1"/>
      <c r="C151" s="1"/>
      <c r="H151" s="1"/>
    </row>
    <row r="152" spans="2:8" ht="15.75" customHeight="1" x14ac:dyDescent="0.25">
      <c r="B152" s="1"/>
      <c r="C152" s="1"/>
      <c r="H152" s="1"/>
    </row>
    <row r="153" spans="2:8" ht="15.75" customHeight="1" x14ac:dyDescent="0.25">
      <c r="B153" s="1"/>
      <c r="C153" s="1"/>
      <c r="H153" s="1"/>
    </row>
    <row r="154" spans="2:8" ht="15.75" customHeight="1" x14ac:dyDescent="0.25">
      <c r="B154" s="1"/>
      <c r="C154" s="1"/>
      <c r="H154" s="1"/>
    </row>
    <row r="155" spans="2:8" ht="15.75" customHeight="1" x14ac:dyDescent="0.25">
      <c r="B155" s="1"/>
      <c r="C155" s="1"/>
      <c r="H155" s="1"/>
    </row>
    <row r="156" spans="2:8" ht="15.75" customHeight="1" x14ac:dyDescent="0.25">
      <c r="B156" s="1"/>
      <c r="C156" s="1"/>
      <c r="H156" s="1"/>
    </row>
    <row r="157" spans="2:8" ht="15.75" customHeight="1" x14ac:dyDescent="0.25">
      <c r="B157" s="1"/>
      <c r="C157" s="1"/>
      <c r="H157" s="1"/>
    </row>
    <row r="158" spans="2:8" ht="15.75" customHeight="1" x14ac:dyDescent="0.25">
      <c r="B158" s="1"/>
      <c r="C158" s="1"/>
      <c r="H158" s="1"/>
    </row>
    <row r="159" spans="2:8" ht="15.75" customHeight="1" x14ac:dyDescent="0.25">
      <c r="B159" s="1"/>
      <c r="C159" s="1"/>
      <c r="H159" s="1"/>
    </row>
    <row r="160" spans="2:8" ht="15.75" customHeight="1" x14ac:dyDescent="0.25">
      <c r="B160" s="1"/>
      <c r="C160" s="1"/>
      <c r="H160" s="1"/>
    </row>
    <row r="161" spans="2:8" ht="15.75" customHeight="1" x14ac:dyDescent="0.25">
      <c r="B161" s="1"/>
      <c r="C161" s="1"/>
      <c r="H161" s="1"/>
    </row>
    <row r="162" spans="2:8" ht="15.75" customHeight="1" x14ac:dyDescent="0.25">
      <c r="B162" s="1"/>
      <c r="C162" s="1"/>
      <c r="H162" s="1"/>
    </row>
    <row r="163" spans="2:8" ht="15.75" customHeight="1" x14ac:dyDescent="0.25">
      <c r="B163" s="1"/>
      <c r="C163" s="1"/>
      <c r="H163" s="1"/>
    </row>
    <row r="164" spans="2:8" ht="15.75" customHeight="1" x14ac:dyDescent="0.25">
      <c r="B164" s="1"/>
      <c r="C164" s="1"/>
      <c r="H164" s="1"/>
    </row>
    <row r="165" spans="2:8" ht="15.75" customHeight="1" x14ac:dyDescent="0.25">
      <c r="B165" s="1"/>
      <c r="C165" s="1"/>
      <c r="H165" s="1"/>
    </row>
    <row r="166" spans="2:8" ht="15.75" customHeight="1" x14ac:dyDescent="0.25">
      <c r="B166" s="1"/>
      <c r="C166" s="1"/>
      <c r="H166" s="1"/>
    </row>
    <row r="167" spans="2:8" ht="15.75" customHeight="1" x14ac:dyDescent="0.25">
      <c r="B167" s="1"/>
      <c r="C167" s="1"/>
      <c r="H167" s="1"/>
    </row>
    <row r="168" spans="2:8" ht="15.75" customHeight="1" x14ac:dyDescent="0.25">
      <c r="B168" s="1"/>
      <c r="C168" s="1"/>
      <c r="H168" s="1"/>
    </row>
    <row r="169" spans="2:8" ht="15.75" customHeight="1" x14ac:dyDescent="0.25">
      <c r="B169" s="1"/>
      <c r="C169" s="1"/>
      <c r="H169" s="1"/>
    </row>
    <row r="170" spans="2:8" ht="15.75" customHeight="1" x14ac:dyDescent="0.25">
      <c r="B170" s="1"/>
      <c r="C170" s="1"/>
      <c r="H170" s="1"/>
    </row>
    <row r="171" spans="2:8" ht="15.75" customHeight="1" x14ac:dyDescent="0.25">
      <c r="B171" s="1"/>
      <c r="C171" s="1"/>
      <c r="H171" s="1"/>
    </row>
    <row r="172" spans="2:8" ht="15.75" customHeight="1" x14ac:dyDescent="0.25">
      <c r="B172" s="1"/>
      <c r="C172" s="1"/>
      <c r="H172" s="1"/>
    </row>
    <row r="173" spans="2:8" ht="15.75" customHeight="1" x14ac:dyDescent="0.25">
      <c r="B173" s="1"/>
      <c r="C173" s="1"/>
      <c r="H173" s="1"/>
    </row>
    <row r="174" spans="2:8" ht="15.75" customHeight="1" x14ac:dyDescent="0.25">
      <c r="B174" s="1"/>
      <c r="C174" s="1"/>
      <c r="H174" s="1"/>
    </row>
    <row r="175" spans="2:8" ht="15.75" customHeight="1" x14ac:dyDescent="0.25">
      <c r="B175" s="1"/>
      <c r="C175" s="1"/>
      <c r="H175" s="1"/>
    </row>
    <row r="176" spans="2:8" ht="15.75" customHeight="1" x14ac:dyDescent="0.25">
      <c r="B176" s="1"/>
      <c r="C176" s="1"/>
      <c r="H176" s="1"/>
    </row>
    <row r="177" spans="2:8" ht="15.75" customHeight="1" x14ac:dyDescent="0.25">
      <c r="B177" s="1"/>
      <c r="C177" s="1"/>
      <c r="H177" s="1"/>
    </row>
    <row r="178" spans="2:8" ht="15.75" customHeight="1" x14ac:dyDescent="0.25">
      <c r="B178" s="1"/>
      <c r="C178" s="1"/>
      <c r="H178" s="1"/>
    </row>
    <row r="179" spans="2:8" ht="15.75" customHeight="1" x14ac:dyDescent="0.25">
      <c r="B179" s="1"/>
      <c r="C179" s="1"/>
      <c r="H179" s="1"/>
    </row>
    <row r="180" spans="2:8" ht="15.75" customHeight="1" x14ac:dyDescent="0.25">
      <c r="B180" s="1"/>
      <c r="C180" s="1"/>
      <c r="H180" s="1"/>
    </row>
    <row r="181" spans="2:8" ht="15.75" customHeight="1" x14ac:dyDescent="0.25">
      <c r="B181" s="1"/>
      <c r="C181" s="1"/>
      <c r="H181" s="1"/>
    </row>
    <row r="182" spans="2:8" ht="15.75" customHeight="1" x14ac:dyDescent="0.25">
      <c r="B182" s="1"/>
      <c r="C182" s="1"/>
      <c r="H182" s="1"/>
    </row>
    <row r="183" spans="2:8" ht="15.75" customHeight="1" x14ac:dyDescent="0.25">
      <c r="B183" s="1"/>
      <c r="C183" s="1"/>
      <c r="H183" s="1"/>
    </row>
    <row r="184" spans="2:8" ht="15.75" customHeight="1" x14ac:dyDescent="0.25">
      <c r="B184" s="1"/>
      <c r="C184" s="1"/>
      <c r="H184" s="1"/>
    </row>
    <row r="185" spans="2:8" ht="15.75" customHeight="1" x14ac:dyDescent="0.25">
      <c r="B185" s="1"/>
      <c r="C185" s="1"/>
      <c r="H185" s="1"/>
    </row>
    <row r="186" spans="2:8" ht="15.75" customHeight="1" x14ac:dyDescent="0.25">
      <c r="B186" s="1"/>
      <c r="C186" s="1"/>
      <c r="H186" s="1"/>
    </row>
    <row r="187" spans="2:8" ht="15.75" customHeight="1" x14ac:dyDescent="0.25">
      <c r="B187" s="1"/>
      <c r="C187" s="1"/>
      <c r="H187" s="1"/>
    </row>
    <row r="188" spans="2:8" ht="15.75" customHeight="1" x14ac:dyDescent="0.25">
      <c r="B188" s="1"/>
      <c r="C188" s="1"/>
      <c r="H188" s="1"/>
    </row>
    <row r="189" spans="2:8" ht="15.75" customHeight="1" x14ac:dyDescent="0.25">
      <c r="B189" s="1"/>
      <c r="C189" s="1"/>
      <c r="H189" s="1"/>
    </row>
    <row r="190" spans="2:8" ht="15.75" customHeight="1" x14ac:dyDescent="0.25">
      <c r="B190" s="1"/>
      <c r="C190" s="1"/>
      <c r="H190" s="1"/>
    </row>
    <row r="191" spans="2:8" ht="15.75" customHeight="1" x14ac:dyDescent="0.25">
      <c r="B191" s="1"/>
      <c r="C191" s="1"/>
      <c r="H191" s="1"/>
    </row>
    <row r="192" spans="2:8" ht="15.75" customHeight="1" x14ac:dyDescent="0.25">
      <c r="B192" s="1"/>
      <c r="C192" s="1"/>
      <c r="H192" s="1"/>
    </row>
    <row r="193" spans="2:8" ht="15.75" customHeight="1" x14ac:dyDescent="0.25">
      <c r="B193" s="1"/>
      <c r="C193" s="1"/>
      <c r="H193" s="1"/>
    </row>
    <row r="194" spans="2:8" ht="15.75" customHeight="1" x14ac:dyDescent="0.25">
      <c r="B194" s="1"/>
      <c r="C194" s="1"/>
      <c r="H194" s="1"/>
    </row>
    <row r="195" spans="2:8" ht="15.75" customHeight="1" x14ac:dyDescent="0.25">
      <c r="B195" s="1"/>
      <c r="C195" s="1"/>
      <c r="H195" s="1"/>
    </row>
    <row r="196" spans="2:8" ht="15.75" customHeight="1" x14ac:dyDescent="0.25">
      <c r="B196" s="1"/>
      <c r="C196" s="1"/>
      <c r="H196" s="1"/>
    </row>
    <row r="197" spans="2:8" ht="15.75" customHeight="1" x14ac:dyDescent="0.25">
      <c r="B197" s="1"/>
      <c r="C197" s="1"/>
      <c r="H197" s="1"/>
    </row>
    <row r="198" spans="2:8" ht="15.75" customHeight="1" x14ac:dyDescent="0.25">
      <c r="B198" s="1"/>
      <c r="C198" s="1"/>
      <c r="H198" s="1"/>
    </row>
    <row r="199" spans="2:8" ht="15.75" customHeight="1" x14ac:dyDescent="0.25">
      <c r="B199" s="1"/>
      <c r="C199" s="1"/>
      <c r="H199" s="1"/>
    </row>
    <row r="200" spans="2:8" ht="15.75" customHeight="1" x14ac:dyDescent="0.25">
      <c r="B200" s="1"/>
      <c r="C200" s="1"/>
      <c r="H200" s="1"/>
    </row>
    <row r="201" spans="2:8" ht="15.75" customHeight="1" x14ac:dyDescent="0.25">
      <c r="B201" s="1"/>
      <c r="C201" s="1"/>
      <c r="H201" s="1"/>
    </row>
    <row r="202" spans="2:8" ht="15.75" customHeight="1" x14ac:dyDescent="0.25">
      <c r="B202" s="1"/>
      <c r="C202" s="1"/>
      <c r="H202" s="1"/>
    </row>
    <row r="203" spans="2:8" ht="15.75" customHeight="1" x14ac:dyDescent="0.25">
      <c r="B203" s="1"/>
      <c r="C203" s="1"/>
      <c r="H203" s="1"/>
    </row>
    <row r="204" spans="2:8" ht="15.75" customHeight="1" x14ac:dyDescent="0.25">
      <c r="B204" s="1"/>
      <c r="C204" s="1"/>
      <c r="H204" s="1"/>
    </row>
    <row r="205" spans="2:8" ht="15.75" customHeight="1" x14ac:dyDescent="0.25">
      <c r="B205" s="1"/>
      <c r="C205" s="1"/>
      <c r="H205" s="1"/>
    </row>
    <row r="206" spans="2:8" ht="15.75" customHeight="1" x14ac:dyDescent="0.25">
      <c r="B206" s="1"/>
      <c r="C206" s="1"/>
      <c r="H206" s="1"/>
    </row>
    <row r="207" spans="2:8" ht="15.75" customHeight="1" x14ac:dyDescent="0.25">
      <c r="B207" s="1"/>
      <c r="C207" s="1"/>
      <c r="H207" s="1"/>
    </row>
    <row r="208" spans="2:8" ht="15.75" customHeight="1" x14ac:dyDescent="0.25">
      <c r="B208" s="1"/>
      <c r="C208" s="1"/>
      <c r="H208" s="1"/>
    </row>
    <row r="209" spans="2:8" ht="15.75" customHeight="1" x14ac:dyDescent="0.25">
      <c r="B209" s="1"/>
      <c r="C209" s="1"/>
      <c r="H209" s="1"/>
    </row>
    <row r="210" spans="2:8" ht="15.75" customHeight="1" x14ac:dyDescent="0.25">
      <c r="B210" s="1"/>
      <c r="C210" s="1"/>
      <c r="H210" s="1"/>
    </row>
    <row r="211" spans="2:8" ht="15.75" customHeight="1" x14ac:dyDescent="0.25">
      <c r="B211" s="1"/>
      <c r="C211" s="1"/>
      <c r="H211" s="1"/>
    </row>
    <row r="212" spans="2:8" ht="15.75" customHeight="1" x14ac:dyDescent="0.25">
      <c r="B212" s="1"/>
      <c r="C212" s="1"/>
      <c r="H212" s="1"/>
    </row>
    <row r="213" spans="2:8" ht="15.75" customHeight="1" x14ac:dyDescent="0.25">
      <c r="B213" s="1"/>
      <c r="C213" s="1"/>
      <c r="H213" s="1"/>
    </row>
    <row r="214" spans="2:8" ht="15.75" customHeight="1" x14ac:dyDescent="0.25">
      <c r="B214" s="1"/>
      <c r="C214" s="1"/>
      <c r="H214" s="1"/>
    </row>
    <row r="215" spans="2:8" ht="15.75" customHeight="1" x14ac:dyDescent="0.25">
      <c r="B215" s="1"/>
      <c r="C215" s="1"/>
      <c r="H215" s="1"/>
    </row>
    <row r="216" spans="2:8" ht="15.75" customHeight="1" x14ac:dyDescent="0.25">
      <c r="B216" s="1"/>
      <c r="C216" s="1"/>
      <c r="H216" s="1"/>
    </row>
    <row r="217" spans="2:8" ht="15.75" customHeight="1" x14ac:dyDescent="0.25">
      <c r="B217" s="1"/>
      <c r="C217" s="1"/>
      <c r="H217" s="1"/>
    </row>
    <row r="218" spans="2:8" ht="15.75" customHeight="1" x14ac:dyDescent="0.25">
      <c r="B218" s="1"/>
      <c r="C218" s="1"/>
      <c r="H218" s="1"/>
    </row>
    <row r="219" spans="2:8" ht="15.75" customHeight="1" x14ac:dyDescent="0.25">
      <c r="B219" s="1"/>
      <c r="C219" s="1"/>
      <c r="H219" s="1"/>
    </row>
    <row r="220" spans="2:8" ht="15.75" customHeight="1" x14ac:dyDescent="0.25">
      <c r="B220" s="1"/>
      <c r="C220" s="1"/>
      <c r="H220" s="1"/>
    </row>
    <row r="221" spans="2:8" ht="15.75" customHeight="1" x14ac:dyDescent="0.25">
      <c r="B221" s="1"/>
      <c r="C221" s="1"/>
      <c r="H221" s="1"/>
    </row>
    <row r="222" spans="2:8" ht="15.75" customHeight="1" x14ac:dyDescent="0.25">
      <c r="B222" s="1"/>
      <c r="C222" s="1"/>
      <c r="H222" s="1"/>
    </row>
    <row r="223" spans="2:8" ht="15.75" customHeight="1" x14ac:dyDescent="0.25">
      <c r="B223" s="1"/>
      <c r="C223" s="1"/>
      <c r="H223" s="1"/>
    </row>
    <row r="224" spans="2:8" ht="15.75" customHeight="1" x14ac:dyDescent="0.25">
      <c r="B224" s="1"/>
      <c r="C224" s="1"/>
      <c r="H224" s="1"/>
    </row>
    <row r="225" spans="2:8" ht="15.75" customHeight="1" x14ac:dyDescent="0.25">
      <c r="B225" s="1"/>
      <c r="C225" s="1"/>
      <c r="H225" s="1"/>
    </row>
    <row r="226" spans="2:8" ht="15.75" customHeight="1" x14ac:dyDescent="0.25">
      <c r="B226" s="1"/>
      <c r="C226" s="1"/>
      <c r="H226" s="1"/>
    </row>
    <row r="227" spans="2:8" ht="15.75" customHeight="1" x14ac:dyDescent="0.25">
      <c r="B227" s="1"/>
      <c r="C227" s="1"/>
      <c r="H227" s="1"/>
    </row>
    <row r="228" spans="2:8" ht="15.75" customHeight="1" x14ac:dyDescent="0.25">
      <c r="B228" s="1"/>
      <c r="C228" s="1"/>
      <c r="H228" s="1"/>
    </row>
    <row r="229" spans="2:8" ht="15.75" customHeight="1" x14ac:dyDescent="0.25">
      <c r="B229" s="1"/>
      <c r="C229" s="1"/>
      <c r="H229" s="1"/>
    </row>
    <row r="230" spans="2:8" ht="15.75" customHeight="1" x14ac:dyDescent="0.25">
      <c r="B230" s="1"/>
      <c r="C230" s="1"/>
      <c r="H230" s="1"/>
    </row>
    <row r="231" spans="2:8" ht="15.75" customHeight="1" x14ac:dyDescent="0.25">
      <c r="B231" s="1"/>
      <c r="C231" s="1"/>
      <c r="H231" s="1"/>
    </row>
    <row r="232" spans="2:8" ht="15.75" customHeight="1" x14ac:dyDescent="0.25">
      <c r="B232" s="1"/>
      <c r="C232" s="1"/>
      <c r="H232" s="1"/>
    </row>
    <row r="233" spans="2:8" ht="15.75" customHeight="1" x14ac:dyDescent="0.25">
      <c r="B233" s="1"/>
      <c r="C233" s="1"/>
      <c r="H233" s="1"/>
    </row>
    <row r="234" spans="2:8" ht="15.75" customHeight="1" x14ac:dyDescent="0.25">
      <c r="B234" s="1"/>
      <c r="C234" s="1"/>
      <c r="H234" s="1"/>
    </row>
    <row r="235" spans="2:8" ht="15.75" customHeight="1" x14ac:dyDescent="0.25">
      <c r="B235" s="1"/>
      <c r="C235" s="1"/>
      <c r="H235" s="1"/>
    </row>
    <row r="236" spans="2:8" ht="15.75" customHeight="1" x14ac:dyDescent="0.25">
      <c r="B236" s="1"/>
      <c r="C236" s="1"/>
      <c r="H236" s="1"/>
    </row>
    <row r="237" spans="2:8" ht="15.75" customHeight="1" x14ac:dyDescent="0.25">
      <c r="B237" s="1"/>
      <c r="C237" s="1"/>
      <c r="H237" s="1"/>
    </row>
    <row r="238" spans="2:8" ht="15.75" customHeight="1" x14ac:dyDescent="0.25">
      <c r="B238" s="1"/>
      <c r="C238" s="1"/>
      <c r="H238" s="1"/>
    </row>
    <row r="239" spans="2:8" ht="15.75" customHeight="1" x14ac:dyDescent="0.25">
      <c r="B239" s="1"/>
      <c r="C239" s="1"/>
      <c r="H239" s="1"/>
    </row>
    <row r="240" spans="2:8" ht="15.75" customHeight="1" x14ac:dyDescent="0.25">
      <c r="B240" s="1"/>
      <c r="C240" s="1"/>
      <c r="H240" s="1"/>
    </row>
    <row r="241" spans="2:8" ht="15.75" customHeight="1" x14ac:dyDescent="0.25">
      <c r="B241" s="1"/>
      <c r="C241" s="1"/>
      <c r="H241" s="1"/>
    </row>
    <row r="242" spans="2:8" ht="15.75" customHeight="1" x14ac:dyDescent="0.25">
      <c r="B242" s="1"/>
      <c r="C242" s="1"/>
      <c r="H242" s="1"/>
    </row>
    <row r="243" spans="2:8" ht="15.75" customHeight="1" x14ac:dyDescent="0.25">
      <c r="B243" s="1"/>
      <c r="C243" s="1"/>
      <c r="H243" s="1"/>
    </row>
    <row r="244" spans="2:8" ht="15.75" customHeight="1" x14ac:dyDescent="0.25">
      <c r="B244" s="1"/>
      <c r="C244" s="1"/>
      <c r="H244" s="1"/>
    </row>
    <row r="245" spans="2:8" ht="15.75" customHeight="1" x14ac:dyDescent="0.25">
      <c r="B245" s="1"/>
      <c r="C245" s="1"/>
      <c r="H245" s="1"/>
    </row>
    <row r="246" spans="2:8" ht="15.75" customHeight="1" x14ac:dyDescent="0.25">
      <c r="B246" s="1"/>
      <c r="C246" s="1"/>
      <c r="H246" s="1"/>
    </row>
    <row r="247" spans="2:8" ht="15.75" customHeight="1" x14ac:dyDescent="0.25">
      <c r="B247" s="1"/>
      <c r="C247" s="1"/>
      <c r="H247" s="1"/>
    </row>
    <row r="248" spans="2:8" ht="15.75" customHeight="1" x14ac:dyDescent="0.25">
      <c r="B248" s="1"/>
      <c r="C248" s="1"/>
      <c r="H248" s="1"/>
    </row>
    <row r="249" spans="2:8" ht="15.75" customHeight="1" x14ac:dyDescent="0.25">
      <c r="B249" s="1"/>
      <c r="C249" s="1"/>
      <c r="H249" s="1"/>
    </row>
    <row r="250" spans="2:8" ht="15.75" customHeight="1" x14ac:dyDescent="0.25">
      <c r="B250" s="1"/>
      <c r="C250" s="1"/>
      <c r="H250" s="1"/>
    </row>
    <row r="251" spans="2:8" ht="15.75" customHeight="1" x14ac:dyDescent="0.25">
      <c r="B251" s="1"/>
      <c r="C251" s="1"/>
      <c r="H251" s="1"/>
    </row>
    <row r="252" spans="2:8" ht="15.75" customHeight="1" x14ac:dyDescent="0.25">
      <c r="B252" s="1"/>
      <c r="C252" s="1"/>
      <c r="H252" s="1"/>
    </row>
    <row r="253" spans="2:8" ht="15.75" customHeight="1" x14ac:dyDescent="0.25">
      <c r="B253" s="1"/>
      <c r="C253" s="1"/>
      <c r="H253" s="1"/>
    </row>
    <row r="254" spans="2:8" ht="15.75" customHeight="1" x14ac:dyDescent="0.25">
      <c r="B254" s="1"/>
      <c r="C254" s="1"/>
      <c r="H254" s="1"/>
    </row>
    <row r="255" spans="2:8" ht="15.75" customHeight="1" x14ac:dyDescent="0.25">
      <c r="B255" s="1"/>
      <c r="C255" s="1"/>
      <c r="H255" s="1"/>
    </row>
    <row r="256" spans="2:8" ht="15.75" customHeight="1" x14ac:dyDescent="0.25">
      <c r="B256" s="1"/>
      <c r="C256" s="1"/>
      <c r="H256" s="1"/>
    </row>
    <row r="257" spans="2:8" ht="15.75" customHeight="1" x14ac:dyDescent="0.25">
      <c r="B257" s="1"/>
      <c r="C257" s="1"/>
      <c r="H257" s="1"/>
    </row>
    <row r="258" spans="2:8" ht="15.75" customHeight="1" x14ac:dyDescent="0.25">
      <c r="B258" s="1"/>
      <c r="C258" s="1"/>
      <c r="H258" s="1"/>
    </row>
    <row r="259" spans="2:8" ht="15.75" customHeight="1" x14ac:dyDescent="0.25">
      <c r="B259" s="1"/>
      <c r="C259" s="1"/>
      <c r="H259" s="1"/>
    </row>
    <row r="260" spans="2:8" ht="15.75" customHeight="1" x14ac:dyDescent="0.25">
      <c r="B260" s="1"/>
      <c r="C260" s="1"/>
      <c r="H260" s="1"/>
    </row>
    <row r="261" spans="2:8" ht="15.75" customHeight="1" x14ac:dyDescent="0.25">
      <c r="B261" s="1"/>
      <c r="C261" s="1"/>
      <c r="H261" s="1"/>
    </row>
    <row r="262" spans="2:8" ht="15.75" customHeight="1" x14ac:dyDescent="0.25">
      <c r="B262" s="1"/>
      <c r="C262" s="1"/>
      <c r="H262" s="1"/>
    </row>
    <row r="263" spans="2:8" ht="15.75" customHeight="1" x14ac:dyDescent="0.25">
      <c r="B263" s="1"/>
      <c r="C263" s="1"/>
      <c r="H263" s="1"/>
    </row>
    <row r="264" spans="2:8" ht="15.75" customHeight="1" x14ac:dyDescent="0.25">
      <c r="B264" s="1"/>
      <c r="C264" s="1"/>
      <c r="H264" s="1"/>
    </row>
    <row r="265" spans="2:8" ht="15.75" customHeight="1" x14ac:dyDescent="0.25">
      <c r="B265" s="1"/>
      <c r="C265" s="1"/>
      <c r="H265" s="1"/>
    </row>
    <row r="266" spans="2:8" ht="15.75" customHeight="1" x14ac:dyDescent="0.25">
      <c r="B266" s="1"/>
      <c r="C266" s="1"/>
      <c r="H266" s="1"/>
    </row>
    <row r="267" spans="2:8" ht="15.75" customHeight="1" x14ac:dyDescent="0.25">
      <c r="B267" s="1"/>
      <c r="C267" s="1"/>
      <c r="H267" s="1"/>
    </row>
    <row r="268" spans="2:8" ht="15.75" customHeight="1" x14ac:dyDescent="0.25">
      <c r="B268" s="1"/>
      <c r="C268" s="1"/>
      <c r="H268" s="1"/>
    </row>
    <row r="269" spans="2:8" ht="15.75" customHeight="1" x14ac:dyDescent="0.25">
      <c r="B269" s="1"/>
      <c r="C269" s="1"/>
      <c r="H269" s="1"/>
    </row>
    <row r="270" spans="2:8" ht="15.75" customHeight="1" x14ac:dyDescent="0.25">
      <c r="B270" s="1"/>
      <c r="C270" s="1"/>
      <c r="H270" s="1"/>
    </row>
    <row r="271" spans="2:8" ht="15.75" customHeight="1" x14ac:dyDescent="0.25">
      <c r="B271" s="1"/>
      <c r="C271" s="1"/>
      <c r="H271" s="1"/>
    </row>
    <row r="272" spans="2:8" ht="15.75" customHeight="1" x14ac:dyDescent="0.25">
      <c r="B272" s="1"/>
      <c r="C272" s="1"/>
      <c r="H272" s="1"/>
    </row>
    <row r="273" spans="2:8" ht="15.75" customHeight="1" x14ac:dyDescent="0.25">
      <c r="B273" s="1"/>
      <c r="C273" s="1"/>
      <c r="H273" s="1"/>
    </row>
    <row r="274" spans="2:8" ht="15.75" customHeight="1" x14ac:dyDescent="0.25">
      <c r="B274" s="1"/>
      <c r="C274" s="1"/>
      <c r="H274" s="1"/>
    </row>
    <row r="275" spans="2:8" ht="15.75" customHeight="1" x14ac:dyDescent="0.25">
      <c r="B275" s="1"/>
      <c r="C275" s="1"/>
      <c r="H275" s="1"/>
    </row>
    <row r="276" spans="2:8" ht="15.75" customHeight="1" x14ac:dyDescent="0.25">
      <c r="B276" s="1"/>
      <c r="C276" s="1"/>
      <c r="H276" s="1"/>
    </row>
    <row r="277" spans="2:8" ht="15.75" customHeight="1" x14ac:dyDescent="0.25">
      <c r="B277" s="1"/>
      <c r="C277" s="1"/>
      <c r="H277" s="1"/>
    </row>
    <row r="278" spans="2:8" ht="15.75" customHeight="1" x14ac:dyDescent="0.25">
      <c r="B278" s="1"/>
      <c r="C278" s="1"/>
      <c r="H278" s="1"/>
    </row>
    <row r="279" spans="2:8" ht="15.75" customHeight="1" x14ac:dyDescent="0.25">
      <c r="B279" s="1"/>
      <c r="C279" s="1"/>
      <c r="H279" s="1"/>
    </row>
    <row r="280" spans="2:8" ht="15.75" customHeight="1" x14ac:dyDescent="0.25">
      <c r="B280" s="1"/>
      <c r="C280" s="1"/>
      <c r="H280" s="1"/>
    </row>
    <row r="281" spans="2:8" ht="15.75" customHeight="1" x14ac:dyDescent="0.25">
      <c r="B281" s="1"/>
      <c r="C281" s="1"/>
      <c r="H281" s="1"/>
    </row>
    <row r="282" spans="2:8" ht="15.75" customHeight="1" x14ac:dyDescent="0.25">
      <c r="B282" s="1"/>
      <c r="C282" s="1"/>
      <c r="H282" s="1"/>
    </row>
    <row r="283" spans="2:8" ht="15.75" customHeight="1" x14ac:dyDescent="0.25">
      <c r="B283" s="1"/>
      <c r="C283" s="1"/>
      <c r="H283" s="1"/>
    </row>
    <row r="284" spans="2:8" ht="15.75" customHeight="1" x14ac:dyDescent="0.25">
      <c r="B284" s="1"/>
      <c r="C284" s="1"/>
      <c r="H284" s="1"/>
    </row>
    <row r="285" spans="2:8" ht="15.75" customHeight="1" x14ac:dyDescent="0.25">
      <c r="B285" s="1"/>
      <c r="C285" s="1"/>
      <c r="H285" s="1"/>
    </row>
    <row r="286" spans="2:8" ht="15.75" customHeight="1" x14ac:dyDescent="0.25">
      <c r="B286" s="1"/>
      <c r="C286" s="1"/>
      <c r="H286" s="1"/>
    </row>
    <row r="287" spans="2:8" ht="15.75" customHeight="1" x14ac:dyDescent="0.25">
      <c r="B287" s="1"/>
      <c r="C287" s="1"/>
      <c r="H287" s="1"/>
    </row>
    <row r="288" spans="2:8" ht="15.75" customHeight="1" x14ac:dyDescent="0.25">
      <c r="B288" s="1"/>
      <c r="C288" s="1"/>
      <c r="H288" s="1"/>
    </row>
    <row r="289" spans="2:8" ht="15.75" customHeight="1" x14ac:dyDescent="0.25">
      <c r="B289" s="1"/>
      <c r="C289" s="1"/>
      <c r="H289" s="1"/>
    </row>
    <row r="290" spans="2:8" ht="15.75" customHeight="1" x14ac:dyDescent="0.25">
      <c r="B290" s="1"/>
      <c r="C290" s="1"/>
      <c r="H290" s="1"/>
    </row>
    <row r="291" spans="2:8" ht="15.75" customHeight="1" x14ac:dyDescent="0.25">
      <c r="B291" s="1"/>
      <c r="C291" s="1"/>
      <c r="H291" s="1"/>
    </row>
    <row r="292" spans="2:8" ht="15.75" customHeight="1" x14ac:dyDescent="0.25">
      <c r="B292" s="1"/>
      <c r="C292" s="1"/>
      <c r="H292" s="1"/>
    </row>
    <row r="293" spans="2:8" ht="15.75" customHeight="1" x14ac:dyDescent="0.25">
      <c r="B293" s="1"/>
      <c r="C293" s="1"/>
      <c r="H293" s="1"/>
    </row>
    <row r="294" spans="2:8" ht="15.75" customHeight="1" x14ac:dyDescent="0.25">
      <c r="B294" s="1"/>
      <c r="C294" s="1"/>
      <c r="H294" s="1"/>
    </row>
    <row r="295" spans="2:8" ht="15.75" customHeight="1" x14ac:dyDescent="0.25">
      <c r="B295" s="1"/>
      <c r="C295" s="1"/>
      <c r="H295" s="1"/>
    </row>
    <row r="296" spans="2:8" ht="15.75" customHeight="1" x14ac:dyDescent="0.25">
      <c r="B296" s="1"/>
      <c r="C296" s="1"/>
      <c r="H296" s="1"/>
    </row>
    <row r="297" spans="2:8" ht="15.75" customHeight="1" x14ac:dyDescent="0.25">
      <c r="B297" s="1"/>
      <c r="C297" s="1"/>
      <c r="H297" s="1"/>
    </row>
    <row r="298" spans="2:8" ht="15.75" customHeight="1" x14ac:dyDescent="0.25">
      <c r="B298" s="1"/>
      <c r="C298" s="1"/>
      <c r="H298" s="1"/>
    </row>
    <row r="299" spans="2:8" ht="15.75" customHeight="1" x14ac:dyDescent="0.25">
      <c r="B299" s="1"/>
      <c r="C299" s="1"/>
      <c r="H299" s="1"/>
    </row>
    <row r="300" spans="2:8" ht="15.75" customHeight="1" x14ac:dyDescent="0.25">
      <c r="B300" s="1"/>
      <c r="C300" s="1"/>
      <c r="H300" s="1"/>
    </row>
    <row r="301" spans="2:8" ht="15.75" customHeight="1" x14ac:dyDescent="0.25">
      <c r="B301" s="1"/>
      <c r="C301" s="1"/>
      <c r="H301" s="1"/>
    </row>
    <row r="302" spans="2:8" ht="15.75" customHeight="1" x14ac:dyDescent="0.25">
      <c r="B302" s="1"/>
      <c r="C302" s="1"/>
      <c r="H302" s="1"/>
    </row>
    <row r="303" spans="2:8" ht="15.75" customHeight="1" x14ac:dyDescent="0.25">
      <c r="B303" s="1"/>
      <c r="C303" s="1"/>
      <c r="H303" s="1"/>
    </row>
    <row r="304" spans="2:8" ht="15.75" customHeight="1" x14ac:dyDescent="0.25">
      <c r="B304" s="1"/>
      <c r="C304" s="1"/>
      <c r="H304" s="1"/>
    </row>
    <row r="305" spans="2:8" ht="15.75" customHeight="1" x14ac:dyDescent="0.25">
      <c r="B305" s="1"/>
      <c r="C305" s="1"/>
      <c r="H305" s="1"/>
    </row>
    <row r="306" spans="2:8" ht="15.75" customHeight="1" x14ac:dyDescent="0.25">
      <c r="B306" s="1"/>
      <c r="C306" s="1"/>
      <c r="H306" s="1"/>
    </row>
    <row r="307" spans="2:8" ht="15.75" customHeight="1" x14ac:dyDescent="0.25">
      <c r="B307" s="1"/>
      <c r="C307" s="1"/>
      <c r="H307" s="1"/>
    </row>
    <row r="308" spans="2:8" ht="15.75" customHeight="1" x14ac:dyDescent="0.25">
      <c r="B308" s="1"/>
      <c r="C308" s="1"/>
      <c r="H308" s="1"/>
    </row>
    <row r="309" spans="2:8" ht="15.75" customHeight="1" x14ac:dyDescent="0.25">
      <c r="B309" s="1"/>
      <c r="C309" s="1"/>
      <c r="H309" s="1"/>
    </row>
    <row r="310" spans="2:8" ht="15.75" customHeight="1" x14ac:dyDescent="0.25">
      <c r="B310" s="1"/>
      <c r="C310" s="1"/>
      <c r="H310" s="1"/>
    </row>
    <row r="311" spans="2:8" ht="15.75" customHeight="1" x14ac:dyDescent="0.25">
      <c r="B311" s="1"/>
      <c r="C311" s="1"/>
      <c r="H311" s="1"/>
    </row>
    <row r="312" spans="2:8" ht="15.75" customHeight="1" x14ac:dyDescent="0.25">
      <c r="B312" s="1"/>
      <c r="C312" s="1"/>
      <c r="H312" s="1"/>
    </row>
    <row r="313" spans="2:8" ht="15.75" customHeight="1" x14ac:dyDescent="0.25">
      <c r="B313" s="1"/>
      <c r="C313" s="1"/>
      <c r="H313" s="1"/>
    </row>
    <row r="314" spans="2:8" ht="15.75" customHeight="1" x14ac:dyDescent="0.25">
      <c r="B314" s="1"/>
      <c r="C314" s="1"/>
      <c r="H314" s="1"/>
    </row>
    <row r="315" spans="2:8" ht="15.75" customHeight="1" x14ac:dyDescent="0.25">
      <c r="B315" s="1"/>
      <c r="C315" s="1"/>
      <c r="H315" s="1"/>
    </row>
    <row r="316" spans="2:8" ht="15.75" customHeight="1" x14ac:dyDescent="0.25">
      <c r="B316" s="1"/>
      <c r="C316" s="1"/>
      <c r="H316" s="1"/>
    </row>
    <row r="317" spans="2:8" ht="15.75" customHeight="1" x14ac:dyDescent="0.25">
      <c r="B317" s="1"/>
      <c r="C317" s="1"/>
      <c r="H317" s="1"/>
    </row>
    <row r="318" spans="2:8" ht="15.75" customHeight="1" x14ac:dyDescent="0.25">
      <c r="B318" s="1"/>
      <c r="C318" s="1"/>
      <c r="H318" s="1"/>
    </row>
    <row r="319" spans="2:8" ht="15.75" customHeight="1" x14ac:dyDescent="0.25">
      <c r="B319" s="1"/>
      <c r="C319" s="1"/>
      <c r="H319" s="1"/>
    </row>
    <row r="320" spans="2:8" ht="15.75" customHeight="1" x14ac:dyDescent="0.25">
      <c r="B320" s="1"/>
      <c r="C320" s="1"/>
      <c r="H320" s="1"/>
    </row>
    <row r="321" spans="2:8" ht="15.75" customHeight="1" x14ac:dyDescent="0.25">
      <c r="B321" s="1"/>
      <c r="C321" s="1"/>
      <c r="H321" s="1"/>
    </row>
    <row r="322" spans="2:8" ht="15.75" customHeight="1" x14ac:dyDescent="0.25">
      <c r="B322" s="1"/>
      <c r="C322" s="1"/>
      <c r="H322" s="1"/>
    </row>
    <row r="323" spans="2:8" ht="15.75" customHeight="1" x14ac:dyDescent="0.25">
      <c r="B323" s="1"/>
      <c r="C323" s="1"/>
      <c r="H323" s="1"/>
    </row>
    <row r="324" spans="2:8" ht="15.75" customHeight="1" x14ac:dyDescent="0.25">
      <c r="B324" s="1"/>
      <c r="C324" s="1"/>
      <c r="H324" s="1"/>
    </row>
    <row r="325" spans="2:8" ht="15.75" customHeight="1" x14ac:dyDescent="0.25">
      <c r="B325" s="1"/>
      <c r="C325" s="1"/>
      <c r="H325" s="1"/>
    </row>
    <row r="326" spans="2:8" ht="15.75" customHeight="1" x14ac:dyDescent="0.25">
      <c r="B326" s="1"/>
      <c r="C326" s="1"/>
      <c r="H326" s="1"/>
    </row>
    <row r="327" spans="2:8" ht="15.75" customHeight="1" x14ac:dyDescent="0.25">
      <c r="B327" s="1"/>
      <c r="C327" s="1"/>
      <c r="H327" s="1"/>
    </row>
    <row r="328" spans="2:8" ht="15.75" customHeight="1" x14ac:dyDescent="0.25">
      <c r="B328" s="1"/>
      <c r="C328" s="1"/>
      <c r="H328" s="1"/>
    </row>
    <row r="329" spans="2:8" ht="15.75" customHeight="1" x14ac:dyDescent="0.25">
      <c r="B329" s="1"/>
      <c r="C329" s="1"/>
      <c r="H329" s="1"/>
    </row>
    <row r="330" spans="2:8" ht="15.75" customHeight="1" x14ac:dyDescent="0.25">
      <c r="B330" s="1"/>
      <c r="C330" s="1"/>
      <c r="H330" s="1"/>
    </row>
    <row r="331" spans="2:8" ht="15.75" customHeight="1" x14ac:dyDescent="0.25">
      <c r="B331" s="1"/>
      <c r="C331" s="1"/>
      <c r="H331" s="1"/>
    </row>
    <row r="332" spans="2:8" ht="15.75" customHeight="1" x14ac:dyDescent="0.25">
      <c r="B332" s="1"/>
      <c r="C332" s="1"/>
      <c r="H332" s="1"/>
    </row>
    <row r="333" spans="2:8" ht="15.75" customHeight="1" x14ac:dyDescent="0.25">
      <c r="B333" s="1"/>
      <c r="C333" s="1"/>
      <c r="H333" s="1"/>
    </row>
    <row r="334" spans="2:8" ht="15.75" customHeight="1" x14ac:dyDescent="0.25">
      <c r="B334" s="1"/>
      <c r="C334" s="1"/>
      <c r="H334" s="1"/>
    </row>
    <row r="335" spans="2:8" ht="15.75" customHeight="1" x14ac:dyDescent="0.25">
      <c r="B335" s="1"/>
      <c r="C335" s="1"/>
      <c r="H335" s="1"/>
    </row>
    <row r="336" spans="2:8" ht="15.75" customHeight="1" x14ac:dyDescent="0.25">
      <c r="B336" s="1"/>
      <c r="C336" s="1"/>
      <c r="H336" s="1"/>
    </row>
    <row r="337" spans="2:8" ht="15.75" customHeight="1" x14ac:dyDescent="0.25">
      <c r="B337" s="1"/>
      <c r="C337" s="1"/>
      <c r="H337" s="1"/>
    </row>
    <row r="338" spans="2:8" ht="15.75" customHeight="1" x14ac:dyDescent="0.25">
      <c r="B338" s="1"/>
      <c r="C338" s="1"/>
      <c r="H338" s="1"/>
    </row>
    <row r="339" spans="2:8" ht="15.75" customHeight="1" x14ac:dyDescent="0.25">
      <c r="B339" s="1"/>
      <c r="C339" s="1"/>
      <c r="H339" s="1"/>
    </row>
    <row r="340" spans="2:8" ht="15.75" customHeight="1" x14ac:dyDescent="0.25">
      <c r="B340" s="1"/>
      <c r="C340" s="1"/>
      <c r="H340" s="1"/>
    </row>
    <row r="341" spans="2:8" ht="15.75" customHeight="1" x14ac:dyDescent="0.25">
      <c r="B341" s="1"/>
      <c r="C341" s="1"/>
      <c r="H341" s="1"/>
    </row>
    <row r="342" spans="2:8" ht="15.75" customHeight="1" x14ac:dyDescent="0.25">
      <c r="B342" s="1"/>
      <c r="C342" s="1"/>
      <c r="H342" s="1"/>
    </row>
    <row r="343" spans="2:8" ht="15.75" customHeight="1" x14ac:dyDescent="0.25">
      <c r="B343" s="1"/>
      <c r="C343" s="1"/>
      <c r="H343" s="1"/>
    </row>
    <row r="344" spans="2:8" ht="15.75" customHeight="1" x14ac:dyDescent="0.25">
      <c r="B344" s="1"/>
      <c r="C344" s="1"/>
      <c r="H344" s="1"/>
    </row>
    <row r="345" spans="2:8" ht="15.75" customHeight="1" x14ac:dyDescent="0.25">
      <c r="B345" s="1"/>
      <c r="C345" s="1"/>
      <c r="H345" s="1"/>
    </row>
    <row r="346" spans="2:8" ht="15.75" customHeight="1" x14ac:dyDescent="0.25">
      <c r="B346" s="1"/>
      <c r="C346" s="1"/>
      <c r="H346" s="1"/>
    </row>
    <row r="347" spans="2:8" ht="15.75" customHeight="1" x14ac:dyDescent="0.25">
      <c r="B347" s="1"/>
      <c r="C347" s="1"/>
      <c r="H347" s="1"/>
    </row>
    <row r="348" spans="2:8" ht="15.75" customHeight="1" x14ac:dyDescent="0.25">
      <c r="B348" s="1"/>
      <c r="C348" s="1"/>
      <c r="H348" s="1"/>
    </row>
    <row r="349" spans="2:8" ht="15.75" customHeight="1" x14ac:dyDescent="0.25">
      <c r="B349" s="1"/>
      <c r="C349" s="1"/>
      <c r="H349" s="1"/>
    </row>
    <row r="350" spans="2:8" ht="15.75" customHeight="1" x14ac:dyDescent="0.25">
      <c r="B350" s="1"/>
      <c r="C350" s="1"/>
      <c r="H350" s="1"/>
    </row>
    <row r="351" spans="2:8" ht="15.75" customHeight="1" x14ac:dyDescent="0.25">
      <c r="B351" s="1"/>
      <c r="C351" s="1"/>
      <c r="H351" s="1"/>
    </row>
    <row r="352" spans="2:8" ht="15.75" customHeight="1" x14ac:dyDescent="0.25">
      <c r="B352" s="1"/>
      <c r="C352" s="1"/>
      <c r="H352" s="1"/>
    </row>
    <row r="353" spans="2:8" ht="15.75" customHeight="1" x14ac:dyDescent="0.25">
      <c r="B353" s="1"/>
      <c r="C353" s="1"/>
      <c r="H353" s="1"/>
    </row>
    <row r="354" spans="2:8" ht="15.75" customHeight="1" x14ac:dyDescent="0.25">
      <c r="B354" s="1"/>
      <c r="C354" s="1"/>
      <c r="H354" s="1"/>
    </row>
    <row r="355" spans="2:8" ht="15.75" customHeight="1" x14ac:dyDescent="0.25">
      <c r="B355" s="1"/>
      <c r="C355" s="1"/>
      <c r="H355" s="1"/>
    </row>
    <row r="356" spans="2:8" ht="15.75" customHeight="1" x14ac:dyDescent="0.25">
      <c r="B356" s="1"/>
      <c r="C356" s="1"/>
      <c r="H356" s="1"/>
    </row>
    <row r="357" spans="2:8" ht="15.75" customHeight="1" x14ac:dyDescent="0.25">
      <c r="B357" s="1"/>
      <c r="C357" s="1"/>
      <c r="H357" s="1"/>
    </row>
    <row r="358" spans="2:8" ht="15.75" customHeight="1" x14ac:dyDescent="0.25">
      <c r="B358" s="1"/>
      <c r="C358" s="1"/>
      <c r="H358" s="1"/>
    </row>
    <row r="359" spans="2:8" ht="15.75" customHeight="1" x14ac:dyDescent="0.25">
      <c r="B359" s="1"/>
      <c r="C359" s="1"/>
      <c r="H359" s="1"/>
    </row>
    <row r="360" spans="2:8" ht="15.75" customHeight="1" x14ac:dyDescent="0.25">
      <c r="B360" s="1"/>
      <c r="C360" s="1"/>
      <c r="H360" s="1"/>
    </row>
    <row r="361" spans="2:8" ht="15.75" customHeight="1" x14ac:dyDescent="0.25">
      <c r="B361" s="1"/>
      <c r="C361" s="1"/>
      <c r="H361" s="1"/>
    </row>
    <row r="362" spans="2:8" ht="15.75" customHeight="1" x14ac:dyDescent="0.25">
      <c r="B362" s="1"/>
      <c r="C362" s="1"/>
      <c r="H362" s="1"/>
    </row>
    <row r="363" spans="2:8" ht="15.75" customHeight="1" x14ac:dyDescent="0.25">
      <c r="B363" s="1"/>
      <c r="C363" s="1"/>
      <c r="H363" s="1"/>
    </row>
    <row r="364" spans="2:8" ht="15.75" customHeight="1" x14ac:dyDescent="0.25">
      <c r="B364" s="1"/>
      <c r="C364" s="1"/>
      <c r="H364" s="1"/>
    </row>
    <row r="365" spans="2:8" ht="15.75" customHeight="1" x14ac:dyDescent="0.25">
      <c r="B365" s="1"/>
      <c r="C365" s="1"/>
      <c r="H365" s="1"/>
    </row>
    <row r="366" spans="2:8" ht="15.75" customHeight="1" x14ac:dyDescent="0.25">
      <c r="B366" s="1"/>
      <c r="C366" s="1"/>
      <c r="H366" s="1"/>
    </row>
    <row r="367" spans="2:8" ht="15.75" customHeight="1" x14ac:dyDescent="0.25">
      <c r="B367" s="1"/>
      <c r="C367" s="1"/>
      <c r="H367" s="1"/>
    </row>
    <row r="368" spans="2:8" ht="15.75" customHeight="1" x14ac:dyDescent="0.25">
      <c r="B368" s="1"/>
      <c r="C368" s="1"/>
      <c r="H368" s="1"/>
    </row>
    <row r="369" spans="2:8" ht="15.75" customHeight="1" x14ac:dyDescent="0.25">
      <c r="B369" s="1"/>
      <c r="C369" s="1"/>
      <c r="H369" s="1"/>
    </row>
    <row r="370" spans="2:8" ht="15.75" customHeight="1" x14ac:dyDescent="0.25">
      <c r="B370" s="1"/>
      <c r="C370" s="1"/>
      <c r="H370" s="1"/>
    </row>
    <row r="371" spans="2:8" ht="15.75" customHeight="1" x14ac:dyDescent="0.25">
      <c r="B371" s="1"/>
      <c r="C371" s="1"/>
      <c r="H371" s="1"/>
    </row>
    <row r="372" spans="2:8" ht="15.75" customHeight="1" x14ac:dyDescent="0.25">
      <c r="B372" s="1"/>
      <c r="C372" s="1"/>
      <c r="H372" s="1"/>
    </row>
    <row r="373" spans="2:8" ht="15.75" customHeight="1" x14ac:dyDescent="0.25">
      <c r="B373" s="1"/>
      <c r="C373" s="1"/>
      <c r="H373" s="1"/>
    </row>
    <row r="374" spans="2:8" ht="15.75" customHeight="1" x14ac:dyDescent="0.25">
      <c r="B374" s="1"/>
      <c r="C374" s="1"/>
      <c r="H374" s="1"/>
    </row>
    <row r="375" spans="2:8" ht="15.75" customHeight="1" x14ac:dyDescent="0.25">
      <c r="B375" s="1"/>
      <c r="C375" s="1"/>
      <c r="H375" s="1"/>
    </row>
    <row r="376" spans="2:8" ht="15.75" customHeight="1" x14ac:dyDescent="0.25">
      <c r="B376" s="1"/>
      <c r="C376" s="1"/>
      <c r="H376" s="1"/>
    </row>
    <row r="377" spans="2:8" ht="15.75" customHeight="1" x14ac:dyDescent="0.25">
      <c r="B377" s="1"/>
      <c r="C377" s="1"/>
      <c r="H377" s="1"/>
    </row>
    <row r="378" spans="2:8" ht="15.75" customHeight="1" x14ac:dyDescent="0.25">
      <c r="B378" s="1"/>
      <c r="C378" s="1"/>
      <c r="H378" s="1"/>
    </row>
    <row r="379" spans="2:8" ht="15.75" customHeight="1" x14ac:dyDescent="0.25">
      <c r="B379" s="1"/>
      <c r="C379" s="1"/>
      <c r="H379" s="1"/>
    </row>
    <row r="380" spans="2:8" ht="15.75" customHeight="1" x14ac:dyDescent="0.25">
      <c r="B380" s="1"/>
      <c r="C380" s="1"/>
      <c r="H380" s="1"/>
    </row>
    <row r="381" spans="2:8" ht="15.75" customHeight="1" x14ac:dyDescent="0.25">
      <c r="B381" s="1"/>
      <c r="C381" s="1"/>
      <c r="H381" s="1"/>
    </row>
    <row r="382" spans="2:8" ht="15.75" customHeight="1" x14ac:dyDescent="0.25">
      <c r="B382" s="1"/>
      <c r="C382" s="1"/>
      <c r="H382" s="1"/>
    </row>
    <row r="383" spans="2:8" ht="15.75" customHeight="1" x14ac:dyDescent="0.25">
      <c r="B383" s="1"/>
      <c r="C383" s="1"/>
      <c r="H383" s="1"/>
    </row>
    <row r="384" spans="2:8" ht="15.75" customHeight="1" x14ac:dyDescent="0.25">
      <c r="B384" s="1"/>
      <c r="C384" s="1"/>
      <c r="H384" s="1"/>
    </row>
    <row r="385" spans="2:8" ht="15.75" customHeight="1" x14ac:dyDescent="0.25">
      <c r="B385" s="1"/>
      <c r="C385" s="1"/>
      <c r="H385" s="1"/>
    </row>
    <row r="386" spans="2:8" ht="15.75" customHeight="1" x14ac:dyDescent="0.25">
      <c r="B386" s="1"/>
      <c r="C386" s="1"/>
      <c r="H386" s="1"/>
    </row>
    <row r="387" spans="2:8" ht="15.75" customHeight="1" x14ac:dyDescent="0.25">
      <c r="B387" s="1"/>
      <c r="C387" s="1"/>
      <c r="H387" s="1"/>
    </row>
    <row r="388" spans="2:8" ht="15.75" customHeight="1" x14ac:dyDescent="0.25">
      <c r="B388" s="1"/>
      <c r="C388" s="1"/>
      <c r="H388" s="1"/>
    </row>
    <row r="389" spans="2:8" ht="15.75" customHeight="1" x14ac:dyDescent="0.25">
      <c r="B389" s="1"/>
      <c r="C389" s="1"/>
      <c r="H389" s="1"/>
    </row>
    <row r="390" spans="2:8" ht="15.75" customHeight="1" x14ac:dyDescent="0.25">
      <c r="B390" s="1"/>
      <c r="C390" s="1"/>
      <c r="H390" s="1"/>
    </row>
    <row r="391" spans="2:8" ht="15.75" customHeight="1" x14ac:dyDescent="0.25">
      <c r="B391" s="1"/>
      <c r="C391" s="1"/>
      <c r="H391" s="1"/>
    </row>
    <row r="392" spans="2:8" ht="15.75" customHeight="1" x14ac:dyDescent="0.25">
      <c r="B392" s="1"/>
      <c r="C392" s="1"/>
      <c r="H392" s="1"/>
    </row>
    <row r="393" spans="2:8" ht="15.75" customHeight="1" x14ac:dyDescent="0.25">
      <c r="B393" s="1"/>
      <c r="C393" s="1"/>
      <c r="H393" s="1"/>
    </row>
    <row r="394" spans="2:8" ht="15.75" customHeight="1" x14ac:dyDescent="0.25">
      <c r="B394" s="1"/>
      <c r="C394" s="1"/>
      <c r="H394" s="1"/>
    </row>
    <row r="395" spans="2:8" ht="15.75" customHeight="1" x14ac:dyDescent="0.25">
      <c r="B395" s="1"/>
      <c r="C395" s="1"/>
      <c r="H395" s="1"/>
    </row>
    <row r="396" spans="2:8" ht="15.75" customHeight="1" x14ac:dyDescent="0.25">
      <c r="B396" s="1"/>
      <c r="C396" s="1"/>
      <c r="H396" s="1"/>
    </row>
    <row r="397" spans="2:8" ht="15.75" customHeight="1" x14ac:dyDescent="0.25">
      <c r="B397" s="1"/>
      <c r="C397" s="1"/>
      <c r="H397" s="1"/>
    </row>
    <row r="398" spans="2:8" ht="15.75" customHeight="1" x14ac:dyDescent="0.25">
      <c r="B398" s="1"/>
      <c r="C398" s="1"/>
      <c r="H398" s="1"/>
    </row>
    <row r="399" spans="2:8" ht="15.75" customHeight="1" x14ac:dyDescent="0.25">
      <c r="B399" s="1"/>
      <c r="C399" s="1"/>
      <c r="H399" s="1"/>
    </row>
    <row r="400" spans="2:8" ht="15.75" customHeight="1" x14ac:dyDescent="0.25">
      <c r="B400" s="1"/>
      <c r="C400" s="1"/>
      <c r="H400" s="1"/>
    </row>
    <row r="401" spans="2:8" ht="15.75" customHeight="1" x14ac:dyDescent="0.25">
      <c r="B401" s="1"/>
      <c r="C401" s="1"/>
      <c r="H401" s="1"/>
    </row>
    <row r="402" spans="2:8" ht="15.75" customHeight="1" x14ac:dyDescent="0.25">
      <c r="B402" s="1"/>
      <c r="C402" s="1"/>
      <c r="H402" s="1"/>
    </row>
    <row r="403" spans="2:8" ht="15.75" customHeight="1" x14ac:dyDescent="0.25">
      <c r="B403" s="1"/>
      <c r="C403" s="1"/>
      <c r="H403" s="1"/>
    </row>
    <row r="404" spans="2:8" ht="15.75" customHeight="1" x14ac:dyDescent="0.25">
      <c r="B404" s="1"/>
      <c r="C404" s="1"/>
      <c r="H404" s="1"/>
    </row>
    <row r="405" spans="2:8" ht="15.75" customHeight="1" x14ac:dyDescent="0.25">
      <c r="B405" s="1"/>
      <c r="C405" s="1"/>
      <c r="H405" s="1"/>
    </row>
    <row r="406" spans="2:8" ht="15.75" customHeight="1" x14ac:dyDescent="0.25">
      <c r="B406" s="1"/>
      <c r="C406" s="1"/>
      <c r="H406" s="1"/>
    </row>
    <row r="407" spans="2:8" ht="15.75" customHeight="1" x14ac:dyDescent="0.25">
      <c r="B407" s="1"/>
      <c r="C407" s="1"/>
      <c r="H407" s="1"/>
    </row>
    <row r="408" spans="2:8" ht="15.75" customHeight="1" x14ac:dyDescent="0.25">
      <c r="B408" s="1"/>
      <c r="C408" s="1"/>
      <c r="H408" s="1"/>
    </row>
    <row r="409" spans="2:8" ht="15.75" customHeight="1" x14ac:dyDescent="0.25">
      <c r="B409" s="1"/>
      <c r="C409" s="1"/>
      <c r="H409" s="1"/>
    </row>
    <row r="410" spans="2:8" ht="15.75" customHeight="1" x14ac:dyDescent="0.25">
      <c r="B410" s="1"/>
      <c r="C410" s="1"/>
      <c r="H410" s="1"/>
    </row>
    <row r="411" spans="2:8" ht="15.75" customHeight="1" x14ac:dyDescent="0.25">
      <c r="B411" s="1"/>
      <c r="C411" s="1"/>
      <c r="H411" s="1"/>
    </row>
    <row r="412" spans="2:8" ht="15.75" customHeight="1" x14ac:dyDescent="0.25">
      <c r="B412" s="1"/>
      <c r="C412" s="1"/>
      <c r="H412" s="1"/>
    </row>
    <row r="413" spans="2:8" ht="15.75" customHeight="1" x14ac:dyDescent="0.25">
      <c r="B413" s="1"/>
      <c r="C413" s="1"/>
      <c r="H413" s="1"/>
    </row>
    <row r="414" spans="2:8" ht="15.75" customHeight="1" x14ac:dyDescent="0.25">
      <c r="B414" s="1"/>
      <c r="C414" s="1"/>
      <c r="H414" s="1"/>
    </row>
    <row r="415" spans="2:8" ht="15.75" customHeight="1" x14ac:dyDescent="0.25">
      <c r="B415" s="1"/>
      <c r="C415" s="1"/>
      <c r="H415" s="1"/>
    </row>
    <row r="416" spans="2:8" ht="15.75" customHeight="1" x14ac:dyDescent="0.25">
      <c r="B416" s="1"/>
      <c r="C416" s="1"/>
      <c r="H416" s="1"/>
    </row>
    <row r="417" spans="2:8" ht="15.75" customHeight="1" x14ac:dyDescent="0.25">
      <c r="B417" s="1"/>
      <c r="C417" s="1"/>
      <c r="H417" s="1"/>
    </row>
    <row r="418" spans="2:8" ht="15.75" customHeight="1" x14ac:dyDescent="0.25">
      <c r="B418" s="1"/>
      <c r="C418" s="1"/>
      <c r="H418" s="1"/>
    </row>
    <row r="419" spans="2:8" ht="15.75" customHeight="1" x14ac:dyDescent="0.25">
      <c r="B419" s="1"/>
      <c r="C419" s="1"/>
      <c r="H419" s="1"/>
    </row>
    <row r="420" spans="2:8" ht="15.75" customHeight="1" x14ac:dyDescent="0.25">
      <c r="B420" s="1"/>
      <c r="C420" s="1"/>
      <c r="H420" s="1"/>
    </row>
    <row r="421" spans="2:8" ht="15.75" customHeight="1" x14ac:dyDescent="0.25">
      <c r="B421" s="1"/>
      <c r="C421" s="1"/>
      <c r="H421" s="1"/>
    </row>
    <row r="422" spans="2:8" ht="15.75" customHeight="1" x14ac:dyDescent="0.25">
      <c r="B422" s="1"/>
      <c r="C422" s="1"/>
      <c r="H422" s="1"/>
    </row>
    <row r="423" spans="2:8" ht="15.75" customHeight="1" x14ac:dyDescent="0.25">
      <c r="B423" s="1"/>
      <c r="C423" s="1"/>
      <c r="H423" s="1"/>
    </row>
    <row r="424" spans="2:8" ht="15.75" customHeight="1" x14ac:dyDescent="0.25">
      <c r="B424" s="1"/>
      <c r="C424" s="1"/>
      <c r="H424" s="1"/>
    </row>
    <row r="425" spans="2:8" ht="15.75" customHeight="1" x14ac:dyDescent="0.25">
      <c r="B425" s="1"/>
      <c r="C425" s="1"/>
      <c r="H425" s="1"/>
    </row>
    <row r="426" spans="2:8" ht="15.75" customHeight="1" x14ac:dyDescent="0.25">
      <c r="B426" s="1"/>
      <c r="C426" s="1"/>
      <c r="H426" s="1"/>
    </row>
    <row r="427" spans="2:8" ht="15.75" customHeight="1" x14ac:dyDescent="0.25">
      <c r="B427" s="1"/>
      <c r="C427" s="1"/>
      <c r="H427" s="1"/>
    </row>
    <row r="428" spans="2:8" ht="15.75" customHeight="1" x14ac:dyDescent="0.25">
      <c r="B428" s="1"/>
      <c r="C428" s="1"/>
      <c r="H428" s="1"/>
    </row>
    <row r="429" spans="2:8" ht="15.75" customHeight="1" x14ac:dyDescent="0.25">
      <c r="B429" s="1"/>
      <c r="C429" s="1"/>
      <c r="H429" s="1"/>
    </row>
    <row r="430" spans="2:8" ht="15.75" customHeight="1" x14ac:dyDescent="0.25">
      <c r="B430" s="1"/>
      <c r="C430" s="1"/>
      <c r="H430" s="1"/>
    </row>
    <row r="431" spans="2:8" ht="15.75" customHeight="1" x14ac:dyDescent="0.25">
      <c r="B431" s="1"/>
      <c r="C431" s="1"/>
      <c r="H431" s="1"/>
    </row>
    <row r="432" spans="2:8" ht="15.75" customHeight="1" x14ac:dyDescent="0.25">
      <c r="B432" s="1"/>
      <c r="C432" s="1"/>
      <c r="H432" s="1"/>
    </row>
    <row r="433" spans="2:8" ht="15.75" customHeight="1" x14ac:dyDescent="0.25">
      <c r="B433" s="1"/>
      <c r="C433" s="1"/>
      <c r="H433" s="1"/>
    </row>
    <row r="434" spans="2:8" ht="15.75" customHeight="1" x14ac:dyDescent="0.25">
      <c r="B434" s="1"/>
      <c r="C434" s="1"/>
      <c r="H434" s="1"/>
    </row>
    <row r="435" spans="2:8" ht="15.75" customHeight="1" x14ac:dyDescent="0.25">
      <c r="B435" s="1"/>
      <c r="C435" s="1"/>
      <c r="H435" s="1"/>
    </row>
    <row r="436" spans="2:8" ht="15.75" customHeight="1" x14ac:dyDescent="0.25">
      <c r="B436" s="1"/>
      <c r="C436" s="1"/>
      <c r="H436" s="1"/>
    </row>
    <row r="437" spans="2:8" ht="15.75" customHeight="1" x14ac:dyDescent="0.25">
      <c r="B437" s="1"/>
      <c r="C437" s="1"/>
      <c r="H437" s="1"/>
    </row>
    <row r="438" spans="2:8" ht="15.75" customHeight="1" x14ac:dyDescent="0.25">
      <c r="B438" s="1"/>
      <c r="C438" s="1"/>
      <c r="H438" s="1"/>
    </row>
    <row r="439" spans="2:8" ht="15.75" customHeight="1" x14ac:dyDescent="0.25">
      <c r="B439" s="1"/>
      <c r="C439" s="1"/>
      <c r="H439" s="1"/>
    </row>
    <row r="440" spans="2:8" ht="15.75" customHeight="1" x14ac:dyDescent="0.25">
      <c r="B440" s="1"/>
      <c r="C440" s="1"/>
      <c r="H440" s="1"/>
    </row>
    <row r="441" spans="2:8" ht="15.75" customHeight="1" x14ac:dyDescent="0.25">
      <c r="B441" s="1"/>
      <c r="C441" s="1"/>
      <c r="H441" s="1"/>
    </row>
    <row r="442" spans="2:8" ht="15.75" customHeight="1" x14ac:dyDescent="0.25">
      <c r="B442" s="1"/>
      <c r="C442" s="1"/>
      <c r="H442" s="1"/>
    </row>
    <row r="443" spans="2:8" ht="15.75" customHeight="1" x14ac:dyDescent="0.25">
      <c r="B443" s="1"/>
      <c r="C443" s="1"/>
      <c r="H443" s="1"/>
    </row>
    <row r="444" spans="2:8" ht="15.75" customHeight="1" x14ac:dyDescent="0.25">
      <c r="B444" s="1"/>
      <c r="C444" s="1"/>
      <c r="H444" s="1"/>
    </row>
    <row r="445" spans="2:8" ht="15.75" customHeight="1" x14ac:dyDescent="0.25">
      <c r="B445" s="1"/>
      <c r="C445" s="1"/>
      <c r="H445" s="1"/>
    </row>
    <row r="446" spans="2:8" ht="15.75" customHeight="1" x14ac:dyDescent="0.25">
      <c r="B446" s="1"/>
      <c r="C446" s="1"/>
      <c r="H446" s="1"/>
    </row>
    <row r="447" spans="2:8" ht="15.75" customHeight="1" x14ac:dyDescent="0.25">
      <c r="B447" s="1"/>
      <c r="C447" s="1"/>
      <c r="H447" s="1"/>
    </row>
    <row r="448" spans="2:8" ht="15.75" customHeight="1" x14ac:dyDescent="0.25">
      <c r="B448" s="1"/>
      <c r="C448" s="1"/>
      <c r="H448" s="1"/>
    </row>
    <row r="449" spans="2:8" ht="15.75" customHeight="1" x14ac:dyDescent="0.25">
      <c r="B449" s="1"/>
      <c r="C449" s="1"/>
      <c r="H449" s="1"/>
    </row>
    <row r="450" spans="2:8" ht="15.75" customHeight="1" x14ac:dyDescent="0.25">
      <c r="B450" s="1"/>
      <c r="C450" s="1"/>
      <c r="H450" s="1"/>
    </row>
    <row r="451" spans="2:8" ht="15.75" customHeight="1" x14ac:dyDescent="0.25">
      <c r="B451" s="1"/>
      <c r="C451" s="1"/>
      <c r="H451" s="1"/>
    </row>
    <row r="452" spans="2:8" ht="15.75" customHeight="1" x14ac:dyDescent="0.25">
      <c r="B452" s="1"/>
      <c r="C452" s="1"/>
      <c r="H452" s="1"/>
    </row>
    <row r="453" spans="2:8" ht="15.75" customHeight="1" x14ac:dyDescent="0.25">
      <c r="B453" s="1"/>
      <c r="C453" s="1"/>
      <c r="H453" s="1"/>
    </row>
    <row r="454" spans="2:8" ht="15.75" customHeight="1" x14ac:dyDescent="0.25">
      <c r="B454" s="1"/>
      <c r="C454" s="1"/>
      <c r="H454" s="1"/>
    </row>
    <row r="455" spans="2:8" ht="15.75" customHeight="1" x14ac:dyDescent="0.25">
      <c r="B455" s="1"/>
      <c r="C455" s="1"/>
      <c r="H455" s="1"/>
    </row>
    <row r="456" spans="2:8" ht="15.75" customHeight="1" x14ac:dyDescent="0.25">
      <c r="B456" s="1"/>
      <c r="C456" s="1"/>
      <c r="H456" s="1"/>
    </row>
    <row r="457" spans="2:8" ht="15.75" customHeight="1" x14ac:dyDescent="0.25">
      <c r="B457" s="1"/>
      <c r="C457" s="1"/>
      <c r="H457" s="1"/>
    </row>
    <row r="458" spans="2:8" ht="15.75" customHeight="1" x14ac:dyDescent="0.25">
      <c r="B458" s="1"/>
      <c r="C458" s="1"/>
      <c r="H458" s="1"/>
    </row>
    <row r="459" spans="2:8" ht="15.75" customHeight="1" x14ac:dyDescent="0.25">
      <c r="B459" s="1"/>
      <c r="C459" s="1"/>
      <c r="H459" s="1"/>
    </row>
    <row r="460" spans="2:8" ht="15.75" customHeight="1" x14ac:dyDescent="0.25">
      <c r="B460" s="1"/>
      <c r="C460" s="1"/>
      <c r="H460" s="1"/>
    </row>
    <row r="461" spans="2:8" ht="15.75" customHeight="1" x14ac:dyDescent="0.25">
      <c r="B461" s="1"/>
      <c r="C461" s="1"/>
      <c r="H461" s="1"/>
    </row>
    <row r="462" spans="2:8" ht="15.75" customHeight="1" x14ac:dyDescent="0.25">
      <c r="B462" s="1"/>
      <c r="C462" s="1"/>
      <c r="H462" s="1"/>
    </row>
    <row r="463" spans="2:8" ht="15.75" customHeight="1" x14ac:dyDescent="0.25">
      <c r="B463" s="1"/>
      <c r="C463" s="1"/>
      <c r="H463" s="1"/>
    </row>
    <row r="464" spans="2:8" ht="15.75" customHeight="1" x14ac:dyDescent="0.25">
      <c r="B464" s="1"/>
      <c r="C464" s="1"/>
      <c r="H464" s="1"/>
    </row>
    <row r="465" spans="2:8" ht="15.75" customHeight="1" x14ac:dyDescent="0.25">
      <c r="B465" s="1"/>
      <c r="C465" s="1"/>
      <c r="H465" s="1"/>
    </row>
    <row r="466" spans="2:8" ht="15.75" customHeight="1" x14ac:dyDescent="0.25">
      <c r="B466" s="1"/>
      <c r="C466" s="1"/>
      <c r="H466" s="1"/>
    </row>
    <row r="467" spans="2:8" ht="15.75" customHeight="1" x14ac:dyDescent="0.25">
      <c r="B467" s="1"/>
      <c r="C467" s="1"/>
      <c r="H467" s="1"/>
    </row>
    <row r="468" spans="2:8" ht="15.75" customHeight="1" x14ac:dyDescent="0.25">
      <c r="B468" s="1"/>
      <c r="C468" s="1"/>
      <c r="H468" s="1"/>
    </row>
    <row r="469" spans="2:8" ht="15.75" customHeight="1" x14ac:dyDescent="0.25">
      <c r="B469" s="1"/>
      <c r="C469" s="1"/>
      <c r="H469" s="1"/>
    </row>
    <row r="470" spans="2:8" ht="15.75" customHeight="1" x14ac:dyDescent="0.25">
      <c r="B470" s="1"/>
      <c r="C470" s="1"/>
      <c r="H470" s="1"/>
    </row>
    <row r="471" spans="2:8" ht="15.75" customHeight="1" x14ac:dyDescent="0.25">
      <c r="B471" s="1"/>
      <c r="C471" s="1"/>
      <c r="H471" s="1"/>
    </row>
    <row r="472" spans="2:8" ht="15.75" customHeight="1" x14ac:dyDescent="0.25">
      <c r="B472" s="1"/>
      <c r="C472" s="1"/>
      <c r="H472" s="1"/>
    </row>
    <row r="473" spans="2:8" ht="15.75" customHeight="1" x14ac:dyDescent="0.25">
      <c r="B473" s="1"/>
      <c r="C473" s="1"/>
      <c r="H473" s="1"/>
    </row>
    <row r="474" spans="2:8" ht="15.75" customHeight="1" x14ac:dyDescent="0.25">
      <c r="B474" s="1"/>
      <c r="C474" s="1"/>
      <c r="H474" s="1"/>
    </row>
    <row r="475" spans="2:8" ht="15.75" customHeight="1" x14ac:dyDescent="0.25">
      <c r="B475" s="1"/>
      <c r="C475" s="1"/>
      <c r="H475" s="1"/>
    </row>
    <row r="476" spans="2:8" ht="15.75" customHeight="1" x14ac:dyDescent="0.25">
      <c r="B476" s="1"/>
      <c r="C476" s="1"/>
      <c r="H476" s="1"/>
    </row>
    <row r="477" spans="2:8" ht="15.75" customHeight="1" x14ac:dyDescent="0.25">
      <c r="B477" s="1"/>
      <c r="C477" s="1"/>
      <c r="H477" s="1"/>
    </row>
    <row r="478" spans="2:8" ht="15.75" customHeight="1" x14ac:dyDescent="0.25">
      <c r="B478" s="1"/>
      <c r="C478" s="1"/>
      <c r="H478" s="1"/>
    </row>
    <row r="479" spans="2:8" ht="15.75" customHeight="1" x14ac:dyDescent="0.25">
      <c r="B479" s="1"/>
      <c r="C479" s="1"/>
      <c r="H479" s="1"/>
    </row>
    <row r="480" spans="2:8" ht="15.75" customHeight="1" x14ac:dyDescent="0.25">
      <c r="B480" s="1"/>
      <c r="C480" s="1"/>
      <c r="H480" s="1"/>
    </row>
    <row r="481" spans="2:8" ht="15.75" customHeight="1" x14ac:dyDescent="0.25">
      <c r="B481" s="1"/>
      <c r="C481" s="1"/>
      <c r="H481" s="1"/>
    </row>
    <row r="482" spans="2:8" ht="15.75" customHeight="1" x14ac:dyDescent="0.25">
      <c r="B482" s="1"/>
      <c r="C482" s="1"/>
      <c r="H482" s="1"/>
    </row>
    <row r="483" spans="2:8" ht="15.75" customHeight="1" x14ac:dyDescent="0.25">
      <c r="B483" s="1"/>
      <c r="C483" s="1"/>
      <c r="H483" s="1"/>
    </row>
    <row r="484" spans="2:8" ht="15.75" customHeight="1" x14ac:dyDescent="0.25">
      <c r="B484" s="1"/>
      <c r="C484" s="1"/>
      <c r="H484" s="1"/>
    </row>
    <row r="485" spans="2:8" ht="15.75" customHeight="1" x14ac:dyDescent="0.25">
      <c r="B485" s="1"/>
      <c r="C485" s="1"/>
      <c r="H485" s="1"/>
    </row>
    <row r="486" spans="2:8" ht="15.75" customHeight="1" x14ac:dyDescent="0.25">
      <c r="B486" s="1"/>
      <c r="C486" s="1"/>
      <c r="H486" s="1"/>
    </row>
    <row r="487" spans="2:8" ht="15.75" customHeight="1" x14ac:dyDescent="0.25">
      <c r="B487" s="1"/>
      <c r="C487" s="1"/>
      <c r="H487" s="1"/>
    </row>
    <row r="488" spans="2:8" ht="15.75" customHeight="1" x14ac:dyDescent="0.25">
      <c r="B488" s="1"/>
      <c r="C488" s="1"/>
      <c r="H488" s="1"/>
    </row>
    <row r="489" spans="2:8" ht="15.75" customHeight="1" x14ac:dyDescent="0.25">
      <c r="B489" s="1"/>
      <c r="C489" s="1"/>
      <c r="H489" s="1"/>
    </row>
    <row r="490" spans="2:8" ht="15.75" customHeight="1" x14ac:dyDescent="0.25">
      <c r="B490" s="1"/>
      <c r="C490" s="1"/>
      <c r="H490" s="1"/>
    </row>
    <row r="491" spans="2:8" ht="15.75" customHeight="1" x14ac:dyDescent="0.25">
      <c r="B491" s="1"/>
      <c r="C491" s="1"/>
      <c r="H491" s="1"/>
    </row>
    <row r="492" spans="2:8" ht="15.75" customHeight="1" x14ac:dyDescent="0.25">
      <c r="B492" s="1"/>
      <c r="C492" s="1"/>
      <c r="H492" s="1"/>
    </row>
    <row r="493" spans="2:8" ht="15.75" customHeight="1" x14ac:dyDescent="0.25">
      <c r="B493" s="1"/>
      <c r="C493" s="1"/>
      <c r="H493" s="1"/>
    </row>
    <row r="494" spans="2:8" ht="15.75" customHeight="1" x14ac:dyDescent="0.25">
      <c r="B494" s="1"/>
      <c r="C494" s="1"/>
      <c r="H494" s="1"/>
    </row>
    <row r="495" spans="2:8" ht="15.75" customHeight="1" x14ac:dyDescent="0.25">
      <c r="B495" s="1"/>
      <c r="C495" s="1"/>
      <c r="H495" s="1"/>
    </row>
    <row r="496" spans="2:8" ht="15.75" customHeight="1" x14ac:dyDescent="0.25">
      <c r="B496" s="1"/>
      <c r="C496" s="1"/>
      <c r="H496" s="1"/>
    </row>
    <row r="497" spans="2:8" ht="15.75" customHeight="1" x14ac:dyDescent="0.25">
      <c r="B497" s="1"/>
      <c r="C497" s="1"/>
      <c r="H497" s="1"/>
    </row>
    <row r="498" spans="2:8" ht="15.75" customHeight="1" x14ac:dyDescent="0.25">
      <c r="B498" s="1"/>
      <c r="C498" s="1"/>
      <c r="H498" s="1"/>
    </row>
    <row r="499" spans="2:8" ht="15.75" customHeight="1" x14ac:dyDescent="0.25">
      <c r="B499" s="1"/>
      <c r="C499" s="1"/>
      <c r="H499" s="1"/>
    </row>
    <row r="500" spans="2:8" ht="15.75" customHeight="1" x14ac:dyDescent="0.25">
      <c r="B500" s="1"/>
      <c r="C500" s="1"/>
      <c r="H500" s="1"/>
    </row>
    <row r="501" spans="2:8" ht="15.75" customHeight="1" x14ac:dyDescent="0.25">
      <c r="B501" s="1"/>
      <c r="C501" s="1"/>
      <c r="H501" s="1"/>
    </row>
    <row r="502" spans="2:8" ht="15.75" customHeight="1" x14ac:dyDescent="0.25">
      <c r="B502" s="1"/>
      <c r="C502" s="1"/>
      <c r="H502" s="1"/>
    </row>
    <row r="503" spans="2:8" ht="15.75" customHeight="1" x14ac:dyDescent="0.25">
      <c r="B503" s="1"/>
      <c r="C503" s="1"/>
      <c r="H503" s="1"/>
    </row>
    <row r="504" spans="2:8" ht="15.75" customHeight="1" x14ac:dyDescent="0.25">
      <c r="B504" s="1"/>
      <c r="C504" s="1"/>
      <c r="H504" s="1"/>
    </row>
    <row r="505" spans="2:8" ht="15.75" customHeight="1" x14ac:dyDescent="0.25">
      <c r="B505" s="1"/>
      <c r="C505" s="1"/>
      <c r="H505" s="1"/>
    </row>
    <row r="506" spans="2:8" ht="15.75" customHeight="1" x14ac:dyDescent="0.25">
      <c r="B506" s="1"/>
      <c r="C506" s="1"/>
      <c r="H506" s="1"/>
    </row>
    <row r="507" spans="2:8" ht="15.75" customHeight="1" x14ac:dyDescent="0.25">
      <c r="B507" s="1"/>
      <c r="C507" s="1"/>
      <c r="H507" s="1"/>
    </row>
    <row r="508" spans="2:8" ht="15.75" customHeight="1" x14ac:dyDescent="0.25">
      <c r="B508" s="1"/>
      <c r="C508" s="1"/>
      <c r="H508" s="1"/>
    </row>
    <row r="509" spans="2:8" ht="15.75" customHeight="1" x14ac:dyDescent="0.25">
      <c r="B509" s="1"/>
      <c r="C509" s="1"/>
      <c r="H509" s="1"/>
    </row>
    <row r="510" spans="2:8" ht="15.75" customHeight="1" x14ac:dyDescent="0.25">
      <c r="B510" s="1"/>
      <c r="C510" s="1"/>
      <c r="H510" s="1"/>
    </row>
    <row r="511" spans="2:8" ht="15.75" customHeight="1" x14ac:dyDescent="0.25">
      <c r="B511" s="1"/>
      <c r="C511" s="1"/>
      <c r="H511" s="1"/>
    </row>
    <row r="512" spans="2:8" ht="15.75" customHeight="1" x14ac:dyDescent="0.25">
      <c r="B512" s="1"/>
      <c r="C512" s="1"/>
      <c r="H512" s="1"/>
    </row>
    <row r="513" spans="2:8" ht="15.75" customHeight="1" x14ac:dyDescent="0.25">
      <c r="B513" s="1"/>
      <c r="C513" s="1"/>
      <c r="H513" s="1"/>
    </row>
    <row r="514" spans="2:8" ht="15.75" customHeight="1" x14ac:dyDescent="0.25">
      <c r="B514" s="1"/>
      <c r="C514" s="1"/>
      <c r="H514" s="1"/>
    </row>
    <row r="515" spans="2:8" ht="15.75" customHeight="1" x14ac:dyDescent="0.25">
      <c r="B515" s="1"/>
      <c r="C515" s="1"/>
      <c r="H515" s="1"/>
    </row>
    <row r="516" spans="2:8" ht="15.75" customHeight="1" x14ac:dyDescent="0.25">
      <c r="B516" s="1"/>
      <c r="C516" s="1"/>
      <c r="H516" s="1"/>
    </row>
    <row r="517" spans="2:8" ht="15.75" customHeight="1" x14ac:dyDescent="0.25">
      <c r="B517" s="1"/>
      <c r="C517" s="1"/>
      <c r="H517" s="1"/>
    </row>
    <row r="518" spans="2:8" ht="15.75" customHeight="1" x14ac:dyDescent="0.25">
      <c r="B518" s="1"/>
      <c r="C518" s="1"/>
      <c r="H518" s="1"/>
    </row>
    <row r="519" spans="2:8" ht="15.75" customHeight="1" x14ac:dyDescent="0.25">
      <c r="B519" s="1"/>
      <c r="C519" s="1"/>
      <c r="H519" s="1"/>
    </row>
    <row r="520" spans="2:8" ht="15.75" customHeight="1" x14ac:dyDescent="0.25">
      <c r="B520" s="1"/>
      <c r="C520" s="1"/>
      <c r="H520" s="1"/>
    </row>
    <row r="521" spans="2:8" ht="15.75" customHeight="1" x14ac:dyDescent="0.25">
      <c r="B521" s="1"/>
      <c r="C521" s="1"/>
      <c r="H521" s="1"/>
    </row>
    <row r="522" spans="2:8" ht="15.75" customHeight="1" x14ac:dyDescent="0.25">
      <c r="B522" s="1"/>
      <c r="C522" s="1"/>
      <c r="H522" s="1"/>
    </row>
    <row r="523" spans="2:8" ht="15.75" customHeight="1" x14ac:dyDescent="0.25">
      <c r="B523" s="1"/>
      <c r="C523" s="1"/>
      <c r="H523" s="1"/>
    </row>
    <row r="524" spans="2:8" ht="15.75" customHeight="1" x14ac:dyDescent="0.25">
      <c r="B524" s="1"/>
      <c r="C524" s="1"/>
      <c r="H524" s="1"/>
    </row>
    <row r="525" spans="2:8" ht="15.75" customHeight="1" x14ac:dyDescent="0.25">
      <c r="B525" s="1"/>
      <c r="C525" s="1"/>
      <c r="H525" s="1"/>
    </row>
    <row r="526" spans="2:8" ht="15.75" customHeight="1" x14ac:dyDescent="0.25">
      <c r="B526" s="1"/>
      <c r="C526" s="1"/>
      <c r="H526" s="1"/>
    </row>
    <row r="527" spans="2:8" ht="15.75" customHeight="1" x14ac:dyDescent="0.25">
      <c r="B527" s="1"/>
      <c r="C527" s="1"/>
      <c r="H527" s="1"/>
    </row>
    <row r="528" spans="2:8" ht="15.75" customHeight="1" x14ac:dyDescent="0.25">
      <c r="B528" s="1"/>
      <c r="C528" s="1"/>
      <c r="H528" s="1"/>
    </row>
    <row r="529" spans="2:8" ht="15.75" customHeight="1" x14ac:dyDescent="0.25">
      <c r="B529" s="1"/>
      <c r="C529" s="1"/>
      <c r="H529" s="1"/>
    </row>
    <row r="530" spans="2:8" ht="15.75" customHeight="1" x14ac:dyDescent="0.25">
      <c r="B530" s="1"/>
      <c r="C530" s="1"/>
      <c r="H530" s="1"/>
    </row>
    <row r="531" spans="2:8" ht="15.75" customHeight="1" x14ac:dyDescent="0.25">
      <c r="B531" s="1"/>
      <c r="C531" s="1"/>
      <c r="H531" s="1"/>
    </row>
    <row r="532" spans="2:8" ht="15.75" customHeight="1" x14ac:dyDescent="0.25">
      <c r="B532" s="1"/>
      <c r="C532" s="1"/>
      <c r="H532" s="1"/>
    </row>
    <row r="533" spans="2:8" ht="15.75" customHeight="1" x14ac:dyDescent="0.25">
      <c r="B533" s="1"/>
      <c r="C533" s="1"/>
      <c r="H533" s="1"/>
    </row>
    <row r="534" spans="2:8" ht="15.75" customHeight="1" x14ac:dyDescent="0.25">
      <c r="B534" s="1"/>
      <c r="C534" s="1"/>
      <c r="H534" s="1"/>
    </row>
    <row r="535" spans="2:8" ht="15.75" customHeight="1" x14ac:dyDescent="0.25">
      <c r="B535" s="1"/>
      <c r="C535" s="1"/>
      <c r="H535" s="1"/>
    </row>
    <row r="536" spans="2:8" ht="15.75" customHeight="1" x14ac:dyDescent="0.25">
      <c r="B536" s="1"/>
      <c r="C536" s="1"/>
      <c r="H536" s="1"/>
    </row>
    <row r="537" spans="2:8" ht="15.75" customHeight="1" x14ac:dyDescent="0.25">
      <c r="B537" s="1"/>
      <c r="C537" s="1"/>
      <c r="H537" s="1"/>
    </row>
    <row r="538" spans="2:8" ht="15.75" customHeight="1" x14ac:dyDescent="0.25">
      <c r="B538" s="1"/>
      <c r="C538" s="1"/>
      <c r="H538" s="1"/>
    </row>
    <row r="539" spans="2:8" ht="15.75" customHeight="1" x14ac:dyDescent="0.25">
      <c r="B539" s="1"/>
      <c r="C539" s="1"/>
      <c r="H539" s="1"/>
    </row>
    <row r="540" spans="2:8" ht="15.75" customHeight="1" x14ac:dyDescent="0.25">
      <c r="B540" s="1"/>
      <c r="C540" s="1"/>
      <c r="H540" s="1"/>
    </row>
    <row r="541" spans="2:8" ht="15.75" customHeight="1" x14ac:dyDescent="0.25">
      <c r="B541" s="1"/>
      <c r="C541" s="1"/>
      <c r="H541" s="1"/>
    </row>
    <row r="542" spans="2:8" ht="15.75" customHeight="1" x14ac:dyDescent="0.25">
      <c r="B542" s="1"/>
      <c r="C542" s="1"/>
      <c r="H542" s="1"/>
    </row>
    <row r="543" spans="2:8" ht="15.75" customHeight="1" x14ac:dyDescent="0.25">
      <c r="B543" s="1"/>
      <c r="C543" s="1"/>
      <c r="H543" s="1"/>
    </row>
    <row r="544" spans="2:8" ht="15.75" customHeight="1" x14ac:dyDescent="0.25">
      <c r="B544" s="1"/>
      <c r="C544" s="1"/>
      <c r="H544" s="1"/>
    </row>
    <row r="545" spans="2:8" ht="15.75" customHeight="1" x14ac:dyDescent="0.25">
      <c r="B545" s="1"/>
      <c r="C545" s="1"/>
      <c r="H545" s="1"/>
    </row>
    <row r="546" spans="2:8" ht="15.75" customHeight="1" x14ac:dyDescent="0.25">
      <c r="B546" s="1"/>
      <c r="C546" s="1"/>
      <c r="H546" s="1"/>
    </row>
    <row r="547" spans="2:8" ht="15.75" customHeight="1" x14ac:dyDescent="0.25">
      <c r="B547" s="1"/>
      <c r="C547" s="1"/>
      <c r="H547" s="1"/>
    </row>
    <row r="548" spans="2:8" ht="15.75" customHeight="1" x14ac:dyDescent="0.25">
      <c r="B548" s="1"/>
      <c r="C548" s="1"/>
      <c r="H548" s="1"/>
    </row>
    <row r="549" spans="2:8" ht="15.75" customHeight="1" x14ac:dyDescent="0.25">
      <c r="B549" s="1"/>
      <c r="C549" s="1"/>
      <c r="H549" s="1"/>
    </row>
    <row r="550" spans="2:8" ht="15.75" customHeight="1" x14ac:dyDescent="0.25">
      <c r="B550" s="1"/>
      <c r="C550" s="1"/>
      <c r="H550" s="1"/>
    </row>
    <row r="551" spans="2:8" ht="15.75" customHeight="1" x14ac:dyDescent="0.25">
      <c r="B551" s="1"/>
      <c r="C551" s="1"/>
      <c r="H551" s="1"/>
    </row>
    <row r="552" spans="2:8" ht="15.75" customHeight="1" x14ac:dyDescent="0.25">
      <c r="B552" s="1"/>
      <c r="C552" s="1"/>
      <c r="H552" s="1"/>
    </row>
    <row r="553" spans="2:8" ht="15.75" customHeight="1" x14ac:dyDescent="0.25">
      <c r="B553" s="1"/>
      <c r="C553" s="1"/>
      <c r="H553" s="1"/>
    </row>
    <row r="554" spans="2:8" ht="15.75" customHeight="1" x14ac:dyDescent="0.25">
      <c r="B554" s="1"/>
      <c r="C554" s="1"/>
      <c r="H554" s="1"/>
    </row>
    <row r="555" spans="2:8" ht="15.75" customHeight="1" x14ac:dyDescent="0.25">
      <c r="B555" s="1"/>
      <c r="C555" s="1"/>
      <c r="H555" s="1"/>
    </row>
    <row r="556" spans="2:8" ht="15.75" customHeight="1" x14ac:dyDescent="0.25">
      <c r="B556" s="1"/>
      <c r="C556" s="1"/>
      <c r="H556" s="1"/>
    </row>
    <row r="557" spans="2:8" ht="15.75" customHeight="1" x14ac:dyDescent="0.25">
      <c r="B557" s="1"/>
      <c r="C557" s="1"/>
      <c r="H557" s="1"/>
    </row>
    <row r="558" spans="2:8" ht="15.75" customHeight="1" x14ac:dyDescent="0.25">
      <c r="B558" s="1"/>
      <c r="C558" s="1"/>
      <c r="H558" s="1"/>
    </row>
    <row r="559" spans="2:8" ht="15.75" customHeight="1" x14ac:dyDescent="0.25">
      <c r="B559" s="1"/>
      <c r="C559" s="1"/>
      <c r="H559" s="1"/>
    </row>
    <row r="560" spans="2:8" ht="15.75" customHeight="1" x14ac:dyDescent="0.25">
      <c r="B560" s="1"/>
      <c r="C560" s="1"/>
      <c r="H560" s="1"/>
    </row>
    <row r="561" spans="2:8" ht="15.75" customHeight="1" x14ac:dyDescent="0.25">
      <c r="B561" s="1"/>
      <c r="C561" s="1"/>
      <c r="H561" s="1"/>
    </row>
    <row r="562" spans="2:8" ht="15.75" customHeight="1" x14ac:dyDescent="0.25">
      <c r="B562" s="1"/>
      <c r="C562" s="1"/>
      <c r="H562" s="1"/>
    </row>
    <row r="563" spans="2:8" ht="15.75" customHeight="1" x14ac:dyDescent="0.25">
      <c r="B563" s="1"/>
      <c r="C563" s="1"/>
      <c r="H563" s="1"/>
    </row>
    <row r="564" spans="2:8" ht="15.75" customHeight="1" x14ac:dyDescent="0.25">
      <c r="B564" s="1"/>
      <c r="C564" s="1"/>
      <c r="H564" s="1"/>
    </row>
    <row r="565" spans="2:8" ht="15.75" customHeight="1" x14ac:dyDescent="0.25">
      <c r="B565" s="1"/>
      <c r="C565" s="1"/>
      <c r="H565" s="1"/>
    </row>
    <row r="566" spans="2:8" ht="15.75" customHeight="1" x14ac:dyDescent="0.25">
      <c r="B566" s="1"/>
      <c r="C566" s="1"/>
      <c r="H566" s="1"/>
    </row>
    <row r="567" spans="2:8" ht="15.75" customHeight="1" x14ac:dyDescent="0.25">
      <c r="B567" s="1"/>
      <c r="C567" s="1"/>
      <c r="H567" s="1"/>
    </row>
    <row r="568" spans="2:8" ht="15.75" customHeight="1" x14ac:dyDescent="0.25">
      <c r="B568" s="1"/>
      <c r="C568" s="1"/>
      <c r="H568" s="1"/>
    </row>
    <row r="569" spans="2:8" ht="15.75" customHeight="1" x14ac:dyDescent="0.25">
      <c r="B569" s="1"/>
      <c r="C569" s="1"/>
      <c r="H569" s="1"/>
    </row>
    <row r="570" spans="2:8" ht="15.75" customHeight="1" x14ac:dyDescent="0.25">
      <c r="B570" s="1"/>
      <c r="C570" s="1"/>
      <c r="H570" s="1"/>
    </row>
    <row r="571" spans="2:8" ht="15.75" customHeight="1" x14ac:dyDescent="0.25">
      <c r="B571" s="1"/>
      <c r="C571" s="1"/>
      <c r="H571" s="1"/>
    </row>
    <row r="572" spans="2:8" ht="15.75" customHeight="1" x14ac:dyDescent="0.25">
      <c r="B572" s="1"/>
      <c r="C572" s="1"/>
      <c r="H572" s="1"/>
    </row>
    <row r="573" spans="2:8" ht="15.75" customHeight="1" x14ac:dyDescent="0.25">
      <c r="B573" s="1"/>
      <c r="C573" s="1"/>
      <c r="H573" s="1"/>
    </row>
    <row r="574" spans="2:8" ht="15.75" customHeight="1" x14ac:dyDescent="0.25">
      <c r="B574" s="1"/>
      <c r="C574" s="1"/>
      <c r="H574" s="1"/>
    </row>
    <row r="575" spans="2:8" ht="15.75" customHeight="1" x14ac:dyDescent="0.25">
      <c r="B575" s="1"/>
      <c r="C575" s="1"/>
      <c r="H575" s="1"/>
    </row>
    <row r="576" spans="2:8" ht="15.75" customHeight="1" x14ac:dyDescent="0.25">
      <c r="B576" s="1"/>
      <c r="C576" s="1"/>
      <c r="H576" s="1"/>
    </row>
    <row r="577" spans="2:8" ht="15.75" customHeight="1" x14ac:dyDescent="0.25">
      <c r="B577" s="1"/>
      <c r="C577" s="1"/>
      <c r="H577" s="1"/>
    </row>
    <row r="578" spans="2:8" ht="15.75" customHeight="1" x14ac:dyDescent="0.25">
      <c r="B578" s="1"/>
      <c r="C578" s="1"/>
      <c r="H578" s="1"/>
    </row>
    <row r="579" spans="2:8" ht="15.75" customHeight="1" x14ac:dyDescent="0.25">
      <c r="B579" s="1"/>
      <c r="C579" s="1"/>
      <c r="H579" s="1"/>
    </row>
    <row r="580" spans="2:8" ht="15.75" customHeight="1" x14ac:dyDescent="0.25">
      <c r="B580" s="1"/>
      <c r="C580" s="1"/>
      <c r="H580" s="1"/>
    </row>
    <row r="581" spans="2:8" ht="15.75" customHeight="1" x14ac:dyDescent="0.25">
      <c r="B581" s="1"/>
      <c r="C581" s="1"/>
      <c r="H581" s="1"/>
    </row>
    <row r="582" spans="2:8" ht="15.75" customHeight="1" x14ac:dyDescent="0.25">
      <c r="B582" s="1"/>
      <c r="C582" s="1"/>
      <c r="H582" s="1"/>
    </row>
    <row r="583" spans="2:8" ht="15.75" customHeight="1" x14ac:dyDescent="0.25">
      <c r="B583" s="1"/>
      <c r="C583" s="1"/>
      <c r="H583" s="1"/>
    </row>
    <row r="584" spans="2:8" ht="15.75" customHeight="1" x14ac:dyDescent="0.25">
      <c r="B584" s="1"/>
      <c r="C584" s="1"/>
      <c r="H584" s="1"/>
    </row>
    <row r="585" spans="2:8" ht="15.75" customHeight="1" x14ac:dyDescent="0.25">
      <c r="B585" s="1"/>
      <c r="C585" s="1"/>
      <c r="H585" s="1"/>
    </row>
    <row r="586" spans="2:8" ht="15.75" customHeight="1" x14ac:dyDescent="0.25">
      <c r="B586" s="1"/>
      <c r="C586" s="1"/>
      <c r="H586" s="1"/>
    </row>
    <row r="587" spans="2:8" ht="15.75" customHeight="1" x14ac:dyDescent="0.25">
      <c r="B587" s="1"/>
      <c r="C587" s="1"/>
      <c r="H587" s="1"/>
    </row>
    <row r="588" spans="2:8" ht="15.75" customHeight="1" x14ac:dyDescent="0.25">
      <c r="B588" s="1"/>
      <c r="C588" s="1"/>
      <c r="H588" s="1"/>
    </row>
    <row r="589" spans="2:8" ht="15.75" customHeight="1" x14ac:dyDescent="0.25">
      <c r="B589" s="1"/>
      <c r="C589" s="1"/>
      <c r="H589" s="1"/>
    </row>
    <row r="590" spans="2:8" ht="15.75" customHeight="1" x14ac:dyDescent="0.25">
      <c r="B590" s="1"/>
      <c r="C590" s="1"/>
      <c r="H590" s="1"/>
    </row>
    <row r="591" spans="2:8" ht="15.75" customHeight="1" x14ac:dyDescent="0.25">
      <c r="B591" s="1"/>
      <c r="C591" s="1"/>
      <c r="H591" s="1"/>
    </row>
    <row r="592" spans="2:8" ht="15.75" customHeight="1" x14ac:dyDescent="0.25">
      <c r="B592" s="1"/>
      <c r="C592" s="1"/>
      <c r="H592" s="1"/>
    </row>
    <row r="593" spans="2:8" ht="15.75" customHeight="1" x14ac:dyDescent="0.25">
      <c r="B593" s="1"/>
      <c r="C593" s="1"/>
      <c r="H593" s="1"/>
    </row>
    <row r="594" spans="2:8" ht="15.75" customHeight="1" x14ac:dyDescent="0.25">
      <c r="B594" s="1"/>
      <c r="C594" s="1"/>
      <c r="H594" s="1"/>
    </row>
    <row r="595" spans="2:8" ht="15.75" customHeight="1" x14ac:dyDescent="0.25">
      <c r="B595" s="1"/>
      <c r="C595" s="1"/>
      <c r="H595" s="1"/>
    </row>
    <row r="596" spans="2:8" ht="15.75" customHeight="1" x14ac:dyDescent="0.25">
      <c r="B596" s="1"/>
      <c r="C596" s="1"/>
      <c r="H596" s="1"/>
    </row>
    <row r="597" spans="2:8" ht="15.75" customHeight="1" x14ac:dyDescent="0.25">
      <c r="B597" s="1"/>
      <c r="C597" s="1"/>
      <c r="H597" s="1"/>
    </row>
    <row r="598" spans="2:8" ht="15.75" customHeight="1" x14ac:dyDescent="0.25">
      <c r="B598" s="1"/>
      <c r="C598" s="1"/>
      <c r="H598" s="1"/>
    </row>
    <row r="599" spans="2:8" ht="15.75" customHeight="1" x14ac:dyDescent="0.25">
      <c r="B599" s="1"/>
      <c r="C599" s="1"/>
      <c r="H599" s="1"/>
    </row>
    <row r="600" spans="2:8" ht="15.75" customHeight="1" x14ac:dyDescent="0.25">
      <c r="B600" s="1"/>
      <c r="C600" s="1"/>
      <c r="H600" s="1"/>
    </row>
    <row r="601" spans="2:8" ht="15.75" customHeight="1" x14ac:dyDescent="0.25">
      <c r="B601" s="1"/>
      <c r="C601" s="1"/>
      <c r="H601" s="1"/>
    </row>
    <row r="602" spans="2:8" ht="15.75" customHeight="1" x14ac:dyDescent="0.25">
      <c r="B602" s="1"/>
      <c r="C602" s="1"/>
      <c r="H602" s="1"/>
    </row>
    <row r="603" spans="2:8" ht="15.75" customHeight="1" x14ac:dyDescent="0.25">
      <c r="B603" s="1"/>
      <c r="C603" s="1"/>
      <c r="H603" s="1"/>
    </row>
    <row r="604" spans="2:8" ht="15.75" customHeight="1" x14ac:dyDescent="0.25">
      <c r="B604" s="1"/>
      <c r="C604" s="1"/>
      <c r="H604" s="1"/>
    </row>
    <row r="605" spans="2:8" ht="15.75" customHeight="1" x14ac:dyDescent="0.25">
      <c r="B605" s="1"/>
      <c r="C605" s="1"/>
      <c r="H605" s="1"/>
    </row>
    <row r="606" spans="2:8" ht="15.75" customHeight="1" x14ac:dyDescent="0.25">
      <c r="B606" s="1"/>
      <c r="C606" s="1"/>
      <c r="H606" s="1"/>
    </row>
    <row r="607" spans="2:8" ht="15.75" customHeight="1" x14ac:dyDescent="0.25">
      <c r="B607" s="1"/>
      <c r="C607" s="1"/>
      <c r="H607" s="1"/>
    </row>
    <row r="608" spans="2:8" ht="15.75" customHeight="1" x14ac:dyDescent="0.25">
      <c r="B608" s="1"/>
      <c r="C608" s="1"/>
      <c r="H608" s="1"/>
    </row>
    <row r="609" spans="2:8" ht="15.75" customHeight="1" x14ac:dyDescent="0.25">
      <c r="B609" s="1"/>
      <c r="C609" s="1"/>
      <c r="H609" s="1"/>
    </row>
    <row r="610" spans="2:8" ht="15.75" customHeight="1" x14ac:dyDescent="0.25">
      <c r="B610" s="1"/>
      <c r="C610" s="1"/>
      <c r="H610" s="1"/>
    </row>
    <row r="611" spans="2:8" ht="15.75" customHeight="1" x14ac:dyDescent="0.25">
      <c r="B611" s="1"/>
      <c r="C611" s="1"/>
      <c r="H611" s="1"/>
    </row>
    <row r="612" spans="2:8" ht="15.75" customHeight="1" x14ac:dyDescent="0.25">
      <c r="B612" s="1"/>
      <c r="C612" s="1"/>
      <c r="H612" s="1"/>
    </row>
    <row r="613" spans="2:8" ht="15.75" customHeight="1" x14ac:dyDescent="0.25">
      <c r="B613" s="1"/>
      <c r="C613" s="1"/>
      <c r="H613" s="1"/>
    </row>
    <row r="614" spans="2:8" ht="15.75" customHeight="1" x14ac:dyDescent="0.25">
      <c r="B614" s="1"/>
      <c r="C614" s="1"/>
      <c r="H614" s="1"/>
    </row>
    <row r="615" spans="2:8" ht="15.75" customHeight="1" x14ac:dyDescent="0.25">
      <c r="B615" s="1"/>
      <c r="C615" s="1"/>
      <c r="H615" s="1"/>
    </row>
    <row r="616" spans="2:8" ht="15.75" customHeight="1" x14ac:dyDescent="0.25">
      <c r="B616" s="1"/>
      <c r="C616" s="1"/>
      <c r="H616" s="1"/>
    </row>
    <row r="617" spans="2:8" ht="15.75" customHeight="1" x14ac:dyDescent="0.25">
      <c r="B617" s="1"/>
      <c r="C617" s="1"/>
      <c r="H617" s="1"/>
    </row>
    <row r="618" spans="2:8" ht="15.75" customHeight="1" x14ac:dyDescent="0.25">
      <c r="B618" s="1"/>
      <c r="C618" s="1"/>
      <c r="H618" s="1"/>
    </row>
    <row r="619" spans="2:8" ht="15.75" customHeight="1" x14ac:dyDescent="0.25">
      <c r="B619" s="1"/>
      <c r="C619" s="1"/>
      <c r="H619" s="1"/>
    </row>
    <row r="620" spans="2:8" ht="15.75" customHeight="1" x14ac:dyDescent="0.25">
      <c r="B620" s="1"/>
      <c r="C620" s="1"/>
      <c r="H620" s="1"/>
    </row>
    <row r="621" spans="2:8" ht="15.75" customHeight="1" x14ac:dyDescent="0.25">
      <c r="B621" s="1"/>
      <c r="C621" s="1"/>
      <c r="H621" s="1"/>
    </row>
    <row r="622" spans="2:8" ht="15.75" customHeight="1" x14ac:dyDescent="0.25">
      <c r="B622" s="1"/>
      <c r="C622" s="1"/>
      <c r="H622" s="1"/>
    </row>
    <row r="623" spans="2:8" ht="15.75" customHeight="1" x14ac:dyDescent="0.25">
      <c r="B623" s="1"/>
      <c r="C623" s="1"/>
      <c r="H623" s="1"/>
    </row>
    <row r="624" spans="2:8" ht="15.75" customHeight="1" x14ac:dyDescent="0.25">
      <c r="B624" s="1"/>
      <c r="C624" s="1"/>
      <c r="H624" s="1"/>
    </row>
    <row r="625" spans="2:8" ht="15.75" customHeight="1" x14ac:dyDescent="0.25">
      <c r="B625" s="1"/>
      <c r="C625" s="1"/>
      <c r="H625" s="1"/>
    </row>
    <row r="626" spans="2:8" ht="15.75" customHeight="1" x14ac:dyDescent="0.25">
      <c r="B626" s="1"/>
      <c r="C626" s="1"/>
      <c r="H626" s="1"/>
    </row>
    <row r="627" spans="2:8" ht="15.75" customHeight="1" x14ac:dyDescent="0.25">
      <c r="B627" s="1"/>
      <c r="C627" s="1"/>
      <c r="H627" s="1"/>
    </row>
    <row r="628" spans="2:8" ht="15.75" customHeight="1" x14ac:dyDescent="0.25">
      <c r="B628" s="1"/>
      <c r="C628" s="1"/>
      <c r="H628" s="1"/>
    </row>
    <row r="629" spans="2:8" ht="15.75" customHeight="1" x14ac:dyDescent="0.25">
      <c r="B629" s="1"/>
      <c r="C629" s="1"/>
      <c r="H629" s="1"/>
    </row>
    <row r="630" spans="2:8" ht="15.75" customHeight="1" x14ac:dyDescent="0.25">
      <c r="B630" s="1"/>
      <c r="C630" s="1"/>
      <c r="H630" s="1"/>
    </row>
    <row r="631" spans="2:8" ht="15.75" customHeight="1" x14ac:dyDescent="0.25">
      <c r="B631" s="1"/>
      <c r="C631" s="1"/>
      <c r="H631" s="1"/>
    </row>
    <row r="632" spans="2:8" ht="15.75" customHeight="1" x14ac:dyDescent="0.25">
      <c r="B632" s="1"/>
      <c r="C632" s="1"/>
      <c r="H632" s="1"/>
    </row>
    <row r="633" spans="2:8" ht="15.75" customHeight="1" x14ac:dyDescent="0.25">
      <c r="B633" s="1"/>
      <c r="C633" s="1"/>
      <c r="H633" s="1"/>
    </row>
    <row r="634" spans="2:8" ht="15.75" customHeight="1" x14ac:dyDescent="0.25">
      <c r="B634" s="1"/>
      <c r="C634" s="1"/>
      <c r="H634" s="1"/>
    </row>
    <row r="635" spans="2:8" ht="15.75" customHeight="1" x14ac:dyDescent="0.25">
      <c r="B635" s="1"/>
      <c r="C635" s="1"/>
      <c r="H635" s="1"/>
    </row>
    <row r="636" spans="2:8" ht="15.75" customHeight="1" x14ac:dyDescent="0.25">
      <c r="B636" s="1"/>
      <c r="C636" s="1"/>
      <c r="H636" s="1"/>
    </row>
    <row r="637" spans="2:8" ht="15.75" customHeight="1" x14ac:dyDescent="0.25">
      <c r="B637" s="1"/>
      <c r="C637" s="1"/>
      <c r="H637" s="1"/>
    </row>
    <row r="638" spans="2:8" ht="15.75" customHeight="1" x14ac:dyDescent="0.25">
      <c r="B638" s="1"/>
      <c r="C638" s="1"/>
      <c r="H638" s="1"/>
    </row>
    <row r="639" spans="2:8" ht="15.75" customHeight="1" x14ac:dyDescent="0.25">
      <c r="B639" s="1"/>
      <c r="C639" s="1"/>
      <c r="H639" s="1"/>
    </row>
    <row r="640" spans="2:8" ht="15.75" customHeight="1" x14ac:dyDescent="0.25">
      <c r="B640" s="1"/>
      <c r="C640" s="1"/>
      <c r="H640" s="1"/>
    </row>
    <row r="641" spans="2:8" ht="15.75" customHeight="1" x14ac:dyDescent="0.25">
      <c r="B641" s="1"/>
      <c r="C641" s="1"/>
      <c r="H641" s="1"/>
    </row>
    <row r="642" spans="2:8" ht="15.75" customHeight="1" x14ac:dyDescent="0.25">
      <c r="B642" s="1"/>
      <c r="C642" s="1"/>
      <c r="H642" s="1"/>
    </row>
    <row r="643" spans="2:8" ht="15.75" customHeight="1" x14ac:dyDescent="0.25">
      <c r="B643" s="1"/>
      <c r="C643" s="1"/>
      <c r="H643" s="1"/>
    </row>
    <row r="644" spans="2:8" ht="15.75" customHeight="1" x14ac:dyDescent="0.25">
      <c r="B644" s="1"/>
      <c r="C644" s="1"/>
      <c r="H644" s="1"/>
    </row>
    <row r="645" spans="2:8" ht="15.75" customHeight="1" x14ac:dyDescent="0.25">
      <c r="B645" s="1"/>
      <c r="C645" s="1"/>
      <c r="H645" s="1"/>
    </row>
    <row r="646" spans="2:8" ht="15.75" customHeight="1" x14ac:dyDescent="0.25">
      <c r="B646" s="1"/>
      <c r="C646" s="1"/>
      <c r="H646" s="1"/>
    </row>
    <row r="647" spans="2:8" ht="15.75" customHeight="1" x14ac:dyDescent="0.25">
      <c r="B647" s="1"/>
      <c r="C647" s="1"/>
      <c r="H647" s="1"/>
    </row>
    <row r="648" spans="2:8" ht="15.75" customHeight="1" x14ac:dyDescent="0.25">
      <c r="B648" s="1"/>
      <c r="C648" s="1"/>
      <c r="H648" s="1"/>
    </row>
    <row r="649" spans="2:8" ht="15.75" customHeight="1" x14ac:dyDescent="0.25">
      <c r="B649" s="1"/>
      <c r="C649" s="1"/>
      <c r="H649" s="1"/>
    </row>
    <row r="650" spans="2:8" ht="15.75" customHeight="1" x14ac:dyDescent="0.25">
      <c r="B650" s="1"/>
      <c r="C650" s="1"/>
      <c r="H650" s="1"/>
    </row>
    <row r="651" spans="2:8" ht="15.75" customHeight="1" x14ac:dyDescent="0.25">
      <c r="B651" s="1"/>
      <c r="C651" s="1"/>
      <c r="H651" s="1"/>
    </row>
    <row r="652" spans="2:8" ht="15.75" customHeight="1" x14ac:dyDescent="0.25">
      <c r="B652" s="1"/>
      <c r="C652" s="1"/>
      <c r="H652" s="1"/>
    </row>
    <row r="653" spans="2:8" ht="15.75" customHeight="1" x14ac:dyDescent="0.25">
      <c r="B653" s="1"/>
      <c r="C653" s="1"/>
      <c r="H653" s="1"/>
    </row>
    <row r="654" spans="2:8" ht="15.75" customHeight="1" x14ac:dyDescent="0.25">
      <c r="B654" s="1"/>
      <c r="C654" s="1"/>
      <c r="H654" s="1"/>
    </row>
    <row r="655" spans="2:8" ht="15.75" customHeight="1" x14ac:dyDescent="0.25">
      <c r="B655" s="1"/>
      <c r="C655" s="1"/>
      <c r="H655" s="1"/>
    </row>
    <row r="656" spans="2:8" ht="15.75" customHeight="1" x14ac:dyDescent="0.25">
      <c r="B656" s="1"/>
      <c r="C656" s="1"/>
      <c r="H656" s="1"/>
    </row>
    <row r="657" spans="2:8" ht="15.75" customHeight="1" x14ac:dyDescent="0.25">
      <c r="B657" s="1"/>
      <c r="C657" s="1"/>
      <c r="H657" s="1"/>
    </row>
    <row r="658" spans="2:8" ht="15.75" customHeight="1" x14ac:dyDescent="0.25">
      <c r="B658" s="1"/>
      <c r="C658" s="1"/>
      <c r="H658" s="1"/>
    </row>
    <row r="659" spans="2:8" ht="15.75" customHeight="1" x14ac:dyDescent="0.25">
      <c r="B659" s="1"/>
      <c r="C659" s="1"/>
      <c r="H659" s="1"/>
    </row>
    <row r="660" spans="2:8" ht="15.75" customHeight="1" x14ac:dyDescent="0.25">
      <c r="B660" s="1"/>
      <c r="C660" s="1"/>
      <c r="H660" s="1"/>
    </row>
    <row r="661" spans="2:8" ht="15.75" customHeight="1" x14ac:dyDescent="0.25">
      <c r="B661" s="1"/>
      <c r="C661" s="1"/>
      <c r="H661" s="1"/>
    </row>
    <row r="662" spans="2:8" ht="15.75" customHeight="1" x14ac:dyDescent="0.25">
      <c r="B662" s="1"/>
      <c r="C662" s="1"/>
      <c r="H662" s="1"/>
    </row>
    <row r="663" spans="2:8" ht="15.75" customHeight="1" x14ac:dyDescent="0.25">
      <c r="B663" s="1"/>
      <c r="C663" s="1"/>
      <c r="H663" s="1"/>
    </row>
    <row r="664" spans="2:8" ht="15.75" customHeight="1" x14ac:dyDescent="0.25">
      <c r="B664" s="1"/>
      <c r="C664" s="1"/>
      <c r="H664" s="1"/>
    </row>
    <row r="665" spans="2:8" ht="15.75" customHeight="1" x14ac:dyDescent="0.25">
      <c r="B665" s="1"/>
      <c r="C665" s="1"/>
      <c r="H665" s="1"/>
    </row>
    <row r="666" spans="2:8" ht="15.75" customHeight="1" x14ac:dyDescent="0.25">
      <c r="B666" s="1"/>
      <c r="C666" s="1"/>
      <c r="H666" s="1"/>
    </row>
    <row r="667" spans="2:8" ht="15.75" customHeight="1" x14ac:dyDescent="0.25">
      <c r="B667" s="1"/>
      <c r="C667" s="1"/>
      <c r="H667" s="1"/>
    </row>
    <row r="668" spans="2:8" ht="15.75" customHeight="1" x14ac:dyDescent="0.25">
      <c r="B668" s="1"/>
      <c r="C668" s="1"/>
      <c r="H668" s="1"/>
    </row>
    <row r="669" spans="2:8" ht="15.75" customHeight="1" x14ac:dyDescent="0.25">
      <c r="B669" s="1"/>
      <c r="C669" s="1"/>
      <c r="H669" s="1"/>
    </row>
    <row r="670" spans="2:8" ht="15.75" customHeight="1" x14ac:dyDescent="0.25">
      <c r="B670" s="1"/>
      <c r="C670" s="1"/>
      <c r="H670" s="1"/>
    </row>
    <row r="671" spans="2:8" ht="15.75" customHeight="1" x14ac:dyDescent="0.25">
      <c r="B671" s="1"/>
      <c r="C671" s="1"/>
      <c r="H671" s="1"/>
    </row>
    <row r="672" spans="2:8" ht="15.75" customHeight="1" x14ac:dyDescent="0.25">
      <c r="B672" s="1"/>
      <c r="C672" s="1"/>
      <c r="H672" s="1"/>
    </row>
    <row r="673" spans="2:8" ht="15.75" customHeight="1" x14ac:dyDescent="0.25">
      <c r="B673" s="1"/>
      <c r="C673" s="1"/>
      <c r="H673" s="1"/>
    </row>
    <row r="674" spans="2:8" ht="15.75" customHeight="1" x14ac:dyDescent="0.25">
      <c r="B674" s="1"/>
      <c r="C674" s="1"/>
      <c r="H674" s="1"/>
    </row>
    <row r="675" spans="2:8" ht="15.75" customHeight="1" x14ac:dyDescent="0.25">
      <c r="B675" s="1"/>
      <c r="C675" s="1"/>
      <c r="H675" s="1"/>
    </row>
    <row r="676" spans="2:8" ht="15.75" customHeight="1" x14ac:dyDescent="0.25">
      <c r="B676" s="1"/>
      <c r="C676" s="1"/>
      <c r="H676" s="1"/>
    </row>
    <row r="677" spans="2:8" ht="15.75" customHeight="1" x14ac:dyDescent="0.25">
      <c r="B677" s="1"/>
      <c r="C677" s="1"/>
      <c r="H677" s="1"/>
    </row>
    <row r="678" spans="2:8" ht="15.75" customHeight="1" x14ac:dyDescent="0.25">
      <c r="B678" s="1"/>
      <c r="C678" s="1"/>
      <c r="H678" s="1"/>
    </row>
    <row r="679" spans="2:8" ht="15.75" customHeight="1" x14ac:dyDescent="0.25">
      <c r="B679" s="1"/>
      <c r="C679" s="1"/>
      <c r="H679" s="1"/>
    </row>
    <row r="680" spans="2:8" ht="15.75" customHeight="1" x14ac:dyDescent="0.25">
      <c r="B680" s="1"/>
      <c r="C680" s="1"/>
      <c r="H680" s="1"/>
    </row>
    <row r="681" spans="2:8" ht="15.75" customHeight="1" x14ac:dyDescent="0.25">
      <c r="B681" s="1"/>
      <c r="C681" s="1"/>
      <c r="H681" s="1"/>
    </row>
    <row r="682" spans="2:8" ht="15.75" customHeight="1" x14ac:dyDescent="0.25">
      <c r="B682" s="1"/>
      <c r="C682" s="1"/>
      <c r="H682" s="1"/>
    </row>
    <row r="683" spans="2:8" ht="15.75" customHeight="1" x14ac:dyDescent="0.25">
      <c r="B683" s="1"/>
      <c r="C683" s="1"/>
      <c r="H683" s="1"/>
    </row>
    <row r="684" spans="2:8" ht="15.75" customHeight="1" x14ac:dyDescent="0.25">
      <c r="B684" s="1"/>
      <c r="C684" s="1"/>
      <c r="H684" s="1"/>
    </row>
    <row r="685" spans="2:8" ht="15.75" customHeight="1" x14ac:dyDescent="0.25">
      <c r="B685" s="1"/>
      <c r="C685" s="1"/>
      <c r="H685" s="1"/>
    </row>
    <row r="686" spans="2:8" ht="15.75" customHeight="1" x14ac:dyDescent="0.25">
      <c r="B686" s="1"/>
      <c r="C686" s="1"/>
      <c r="H686" s="1"/>
    </row>
    <row r="687" spans="2:8" ht="15.75" customHeight="1" x14ac:dyDescent="0.25">
      <c r="B687" s="1"/>
      <c r="C687" s="1"/>
      <c r="H687" s="1"/>
    </row>
    <row r="688" spans="2:8" ht="15.75" customHeight="1" x14ac:dyDescent="0.25">
      <c r="B688" s="1"/>
      <c r="C688" s="1"/>
      <c r="H688" s="1"/>
    </row>
    <row r="689" spans="2:8" ht="15.75" customHeight="1" x14ac:dyDescent="0.25">
      <c r="B689" s="1"/>
      <c r="C689" s="1"/>
      <c r="H689" s="1"/>
    </row>
    <row r="690" spans="2:8" ht="15.75" customHeight="1" x14ac:dyDescent="0.25">
      <c r="B690" s="1"/>
      <c r="C690" s="1"/>
      <c r="H690" s="1"/>
    </row>
    <row r="691" spans="2:8" ht="15.75" customHeight="1" x14ac:dyDescent="0.25">
      <c r="B691" s="1"/>
      <c r="C691" s="1"/>
      <c r="H691" s="1"/>
    </row>
    <row r="692" spans="2:8" ht="15.75" customHeight="1" x14ac:dyDescent="0.25">
      <c r="B692" s="1"/>
      <c r="C692" s="1"/>
      <c r="H692" s="1"/>
    </row>
    <row r="693" spans="2:8" ht="15.75" customHeight="1" x14ac:dyDescent="0.25">
      <c r="B693" s="1"/>
      <c r="C693" s="1"/>
      <c r="H693" s="1"/>
    </row>
    <row r="694" spans="2:8" ht="15.75" customHeight="1" x14ac:dyDescent="0.25">
      <c r="B694" s="1"/>
      <c r="C694" s="1"/>
      <c r="H694" s="1"/>
    </row>
    <row r="695" spans="2:8" ht="15.75" customHeight="1" x14ac:dyDescent="0.25">
      <c r="B695" s="1"/>
      <c r="C695" s="1"/>
      <c r="H695" s="1"/>
    </row>
    <row r="696" spans="2:8" ht="15.75" customHeight="1" x14ac:dyDescent="0.25">
      <c r="B696" s="1"/>
      <c r="C696" s="1"/>
      <c r="H696" s="1"/>
    </row>
    <row r="697" spans="2:8" ht="15.75" customHeight="1" x14ac:dyDescent="0.25">
      <c r="B697" s="1"/>
      <c r="C697" s="1"/>
      <c r="H697" s="1"/>
    </row>
    <row r="698" spans="2:8" ht="15.75" customHeight="1" x14ac:dyDescent="0.25">
      <c r="B698" s="1"/>
      <c r="C698" s="1"/>
      <c r="H698" s="1"/>
    </row>
    <row r="699" spans="2:8" ht="15.75" customHeight="1" x14ac:dyDescent="0.25">
      <c r="B699" s="1"/>
      <c r="C699" s="1"/>
      <c r="H699" s="1"/>
    </row>
    <row r="700" spans="2:8" ht="15.75" customHeight="1" x14ac:dyDescent="0.25">
      <c r="B700" s="1"/>
      <c r="C700" s="1"/>
      <c r="H700" s="1"/>
    </row>
    <row r="701" spans="2:8" ht="15.75" customHeight="1" x14ac:dyDescent="0.25">
      <c r="B701" s="1"/>
      <c r="C701" s="1"/>
      <c r="H701" s="1"/>
    </row>
    <row r="702" spans="2:8" ht="15.75" customHeight="1" x14ac:dyDescent="0.25">
      <c r="B702" s="1"/>
      <c r="C702" s="1"/>
      <c r="H702" s="1"/>
    </row>
    <row r="703" spans="2:8" ht="15.75" customHeight="1" x14ac:dyDescent="0.25">
      <c r="B703" s="1"/>
      <c r="C703" s="1"/>
      <c r="H703" s="1"/>
    </row>
    <row r="704" spans="2:8" ht="15.75" customHeight="1" x14ac:dyDescent="0.25">
      <c r="B704" s="1"/>
      <c r="C704" s="1"/>
      <c r="H704" s="1"/>
    </row>
    <row r="705" spans="2:8" ht="15.75" customHeight="1" x14ac:dyDescent="0.25">
      <c r="B705" s="1"/>
      <c r="C705" s="1"/>
      <c r="H705" s="1"/>
    </row>
    <row r="706" spans="2:8" ht="15.75" customHeight="1" x14ac:dyDescent="0.25">
      <c r="B706" s="1"/>
      <c r="C706" s="1"/>
      <c r="H706" s="1"/>
    </row>
    <row r="707" spans="2:8" ht="15.75" customHeight="1" x14ac:dyDescent="0.25">
      <c r="B707" s="1"/>
      <c r="C707" s="1"/>
      <c r="H707" s="1"/>
    </row>
    <row r="708" spans="2:8" ht="15.75" customHeight="1" x14ac:dyDescent="0.25">
      <c r="B708" s="1"/>
      <c r="C708" s="1"/>
      <c r="H708" s="1"/>
    </row>
    <row r="709" spans="2:8" ht="15.75" customHeight="1" x14ac:dyDescent="0.25">
      <c r="B709" s="1"/>
      <c r="C709" s="1"/>
      <c r="H709" s="1"/>
    </row>
    <row r="710" spans="2:8" ht="15.75" customHeight="1" x14ac:dyDescent="0.25">
      <c r="B710" s="1"/>
      <c r="C710" s="1"/>
      <c r="H710" s="1"/>
    </row>
    <row r="711" spans="2:8" ht="15.75" customHeight="1" x14ac:dyDescent="0.25">
      <c r="B711" s="1"/>
      <c r="C711" s="1"/>
      <c r="H711" s="1"/>
    </row>
    <row r="712" spans="2:8" ht="15.75" customHeight="1" x14ac:dyDescent="0.25">
      <c r="B712" s="1"/>
      <c r="C712" s="1"/>
      <c r="H712" s="1"/>
    </row>
    <row r="713" spans="2:8" ht="15.75" customHeight="1" x14ac:dyDescent="0.25">
      <c r="B713" s="1"/>
      <c r="C713" s="1"/>
      <c r="H713" s="1"/>
    </row>
    <row r="714" spans="2:8" ht="15.75" customHeight="1" x14ac:dyDescent="0.25">
      <c r="B714" s="1"/>
      <c r="C714" s="1"/>
      <c r="H714" s="1"/>
    </row>
    <row r="715" spans="2:8" ht="15.75" customHeight="1" x14ac:dyDescent="0.25">
      <c r="B715" s="1"/>
      <c r="C715" s="1"/>
      <c r="H715" s="1"/>
    </row>
    <row r="716" spans="2:8" ht="15.75" customHeight="1" x14ac:dyDescent="0.25">
      <c r="B716" s="1"/>
      <c r="C716" s="1"/>
      <c r="H716" s="1"/>
    </row>
    <row r="717" spans="2:8" ht="15.75" customHeight="1" x14ac:dyDescent="0.25">
      <c r="B717" s="1"/>
      <c r="C717" s="1"/>
      <c r="H717" s="1"/>
    </row>
    <row r="718" spans="2:8" ht="15.75" customHeight="1" x14ac:dyDescent="0.25">
      <c r="B718" s="1"/>
      <c r="C718" s="1"/>
      <c r="H718" s="1"/>
    </row>
    <row r="719" spans="2:8" ht="15.75" customHeight="1" x14ac:dyDescent="0.25">
      <c r="B719" s="1"/>
      <c r="C719" s="1"/>
      <c r="H719" s="1"/>
    </row>
    <row r="720" spans="2:8" ht="15.75" customHeight="1" x14ac:dyDescent="0.25">
      <c r="B720" s="1"/>
      <c r="C720" s="1"/>
      <c r="H720" s="1"/>
    </row>
    <row r="721" spans="2:8" ht="15.75" customHeight="1" x14ac:dyDescent="0.25">
      <c r="B721" s="1"/>
      <c r="C721" s="1"/>
      <c r="H721" s="1"/>
    </row>
    <row r="722" spans="2:8" ht="15.75" customHeight="1" x14ac:dyDescent="0.25">
      <c r="B722" s="1"/>
      <c r="C722" s="1"/>
      <c r="H722" s="1"/>
    </row>
    <row r="723" spans="2:8" ht="15.75" customHeight="1" x14ac:dyDescent="0.25">
      <c r="B723" s="1"/>
      <c r="C723" s="1"/>
      <c r="H723" s="1"/>
    </row>
    <row r="724" spans="2:8" ht="15.75" customHeight="1" x14ac:dyDescent="0.25">
      <c r="B724" s="1"/>
      <c r="C724" s="1"/>
      <c r="H724" s="1"/>
    </row>
    <row r="725" spans="2:8" ht="15.75" customHeight="1" x14ac:dyDescent="0.25">
      <c r="B725" s="1"/>
      <c r="C725" s="1"/>
      <c r="H725" s="1"/>
    </row>
    <row r="726" spans="2:8" ht="15.75" customHeight="1" x14ac:dyDescent="0.25">
      <c r="B726" s="1"/>
      <c r="C726" s="1"/>
      <c r="H726" s="1"/>
    </row>
    <row r="727" spans="2:8" ht="15.75" customHeight="1" x14ac:dyDescent="0.25">
      <c r="B727" s="1"/>
      <c r="C727" s="1"/>
      <c r="H727" s="1"/>
    </row>
    <row r="728" spans="2:8" ht="15.75" customHeight="1" x14ac:dyDescent="0.25">
      <c r="B728" s="1"/>
      <c r="C728" s="1"/>
      <c r="H728" s="1"/>
    </row>
    <row r="729" spans="2:8" ht="15.75" customHeight="1" x14ac:dyDescent="0.25">
      <c r="B729" s="1"/>
      <c r="C729" s="1"/>
      <c r="H729" s="1"/>
    </row>
    <row r="730" spans="2:8" ht="15.75" customHeight="1" x14ac:dyDescent="0.25">
      <c r="B730" s="1"/>
      <c r="C730" s="1"/>
      <c r="H730" s="1"/>
    </row>
    <row r="731" spans="2:8" ht="15.75" customHeight="1" x14ac:dyDescent="0.25">
      <c r="B731" s="1"/>
      <c r="C731" s="1"/>
      <c r="H731" s="1"/>
    </row>
    <row r="732" spans="2:8" ht="15.75" customHeight="1" x14ac:dyDescent="0.25">
      <c r="B732" s="1"/>
      <c r="C732" s="1"/>
      <c r="H732" s="1"/>
    </row>
    <row r="733" spans="2:8" ht="15.75" customHeight="1" x14ac:dyDescent="0.25">
      <c r="B733" s="1"/>
      <c r="C733" s="1"/>
      <c r="H733" s="1"/>
    </row>
    <row r="734" spans="2:8" ht="15.75" customHeight="1" x14ac:dyDescent="0.25">
      <c r="B734" s="1"/>
      <c r="C734" s="1"/>
      <c r="H734" s="1"/>
    </row>
    <row r="735" spans="2:8" ht="15.75" customHeight="1" x14ac:dyDescent="0.25">
      <c r="B735" s="1"/>
      <c r="C735" s="1"/>
      <c r="H735" s="1"/>
    </row>
    <row r="736" spans="2:8" ht="15.75" customHeight="1" x14ac:dyDescent="0.25">
      <c r="B736" s="1"/>
      <c r="C736" s="1"/>
      <c r="H736" s="1"/>
    </row>
    <row r="737" spans="2:8" ht="15.75" customHeight="1" x14ac:dyDescent="0.25">
      <c r="B737" s="1"/>
      <c r="C737" s="1"/>
      <c r="H737" s="1"/>
    </row>
    <row r="738" spans="2:8" ht="15.75" customHeight="1" x14ac:dyDescent="0.25">
      <c r="B738" s="1"/>
      <c r="C738" s="1"/>
      <c r="H738" s="1"/>
    </row>
    <row r="739" spans="2:8" ht="15.75" customHeight="1" x14ac:dyDescent="0.25">
      <c r="B739" s="1"/>
      <c r="C739" s="1"/>
      <c r="H739" s="1"/>
    </row>
    <row r="740" spans="2:8" ht="15.75" customHeight="1" x14ac:dyDescent="0.25">
      <c r="B740" s="1"/>
      <c r="C740" s="1"/>
      <c r="H740" s="1"/>
    </row>
    <row r="741" spans="2:8" ht="15.75" customHeight="1" x14ac:dyDescent="0.25">
      <c r="B741" s="1"/>
      <c r="C741" s="1"/>
      <c r="H741" s="1"/>
    </row>
    <row r="742" spans="2:8" ht="15.75" customHeight="1" x14ac:dyDescent="0.25">
      <c r="B742" s="1"/>
      <c r="C742" s="1"/>
      <c r="H742" s="1"/>
    </row>
    <row r="743" spans="2:8" ht="15.75" customHeight="1" x14ac:dyDescent="0.25">
      <c r="B743" s="1"/>
      <c r="C743" s="1"/>
      <c r="H743" s="1"/>
    </row>
    <row r="744" spans="2:8" ht="15.75" customHeight="1" x14ac:dyDescent="0.25">
      <c r="B744" s="1"/>
      <c r="C744" s="1"/>
      <c r="H744" s="1"/>
    </row>
    <row r="745" spans="2:8" ht="15.75" customHeight="1" x14ac:dyDescent="0.25">
      <c r="B745" s="1"/>
      <c r="C745" s="1"/>
      <c r="H745" s="1"/>
    </row>
    <row r="746" spans="2:8" ht="15.75" customHeight="1" x14ac:dyDescent="0.25">
      <c r="B746" s="1"/>
      <c r="C746" s="1"/>
      <c r="H746" s="1"/>
    </row>
    <row r="747" spans="2:8" ht="15.75" customHeight="1" x14ac:dyDescent="0.25">
      <c r="B747" s="1"/>
      <c r="C747" s="1"/>
      <c r="H747" s="1"/>
    </row>
    <row r="748" spans="2:8" ht="15.75" customHeight="1" x14ac:dyDescent="0.25">
      <c r="B748" s="1"/>
      <c r="C748" s="1"/>
      <c r="H748" s="1"/>
    </row>
    <row r="749" spans="2:8" ht="15.75" customHeight="1" x14ac:dyDescent="0.25">
      <c r="B749" s="1"/>
      <c r="C749" s="1"/>
      <c r="H749" s="1"/>
    </row>
    <row r="750" spans="2:8" ht="15.75" customHeight="1" x14ac:dyDescent="0.25">
      <c r="B750" s="1"/>
      <c r="C750" s="1"/>
      <c r="H750" s="1"/>
    </row>
    <row r="751" spans="2:8" ht="15.75" customHeight="1" x14ac:dyDescent="0.25">
      <c r="B751" s="1"/>
      <c r="C751" s="1"/>
      <c r="H751" s="1"/>
    </row>
    <row r="752" spans="2:8" ht="15.75" customHeight="1" x14ac:dyDescent="0.25">
      <c r="B752" s="1"/>
      <c r="C752" s="1"/>
      <c r="H752" s="1"/>
    </row>
    <row r="753" spans="2:8" ht="15.75" customHeight="1" x14ac:dyDescent="0.25">
      <c r="B753" s="1"/>
      <c r="C753" s="1"/>
      <c r="H753" s="1"/>
    </row>
    <row r="754" spans="2:8" ht="15.75" customHeight="1" x14ac:dyDescent="0.25">
      <c r="B754" s="1"/>
      <c r="C754" s="1"/>
      <c r="H754" s="1"/>
    </row>
    <row r="755" spans="2:8" ht="15.75" customHeight="1" x14ac:dyDescent="0.25">
      <c r="B755" s="1"/>
      <c r="C755" s="1"/>
      <c r="H755" s="1"/>
    </row>
    <row r="756" spans="2:8" ht="15.75" customHeight="1" x14ac:dyDescent="0.25">
      <c r="B756" s="1"/>
      <c r="C756" s="1"/>
      <c r="H756" s="1"/>
    </row>
    <row r="757" spans="2:8" ht="15.75" customHeight="1" x14ac:dyDescent="0.25">
      <c r="B757" s="1"/>
      <c r="C757" s="1"/>
      <c r="H757" s="1"/>
    </row>
    <row r="758" spans="2:8" ht="15.75" customHeight="1" x14ac:dyDescent="0.25">
      <c r="B758" s="1"/>
      <c r="C758" s="1"/>
      <c r="H758" s="1"/>
    </row>
    <row r="759" spans="2:8" ht="15.75" customHeight="1" x14ac:dyDescent="0.25">
      <c r="B759" s="1"/>
      <c r="C759" s="1"/>
      <c r="H759" s="1"/>
    </row>
    <row r="760" spans="2:8" ht="15.75" customHeight="1" x14ac:dyDescent="0.25">
      <c r="B760" s="1"/>
      <c r="C760" s="1"/>
      <c r="H760" s="1"/>
    </row>
    <row r="761" spans="2:8" ht="15.75" customHeight="1" x14ac:dyDescent="0.25">
      <c r="B761" s="1"/>
      <c r="C761" s="1"/>
      <c r="H761" s="1"/>
    </row>
    <row r="762" spans="2:8" ht="15.75" customHeight="1" x14ac:dyDescent="0.25">
      <c r="B762" s="1"/>
      <c r="C762" s="1"/>
      <c r="H762" s="1"/>
    </row>
    <row r="763" spans="2:8" ht="15.75" customHeight="1" x14ac:dyDescent="0.25">
      <c r="B763" s="1"/>
      <c r="C763" s="1"/>
      <c r="H763" s="1"/>
    </row>
    <row r="764" spans="2:8" ht="15.75" customHeight="1" x14ac:dyDescent="0.25">
      <c r="B764" s="1"/>
      <c r="C764" s="1"/>
      <c r="H764" s="1"/>
    </row>
    <row r="765" spans="2:8" ht="15.75" customHeight="1" x14ac:dyDescent="0.25">
      <c r="B765" s="1"/>
      <c r="C765" s="1"/>
      <c r="H765" s="1"/>
    </row>
    <row r="766" spans="2:8" ht="15.75" customHeight="1" x14ac:dyDescent="0.25">
      <c r="B766" s="1"/>
      <c r="C766" s="1"/>
      <c r="H766" s="1"/>
    </row>
    <row r="767" spans="2:8" ht="15.75" customHeight="1" x14ac:dyDescent="0.25">
      <c r="B767" s="1"/>
      <c r="C767" s="1"/>
      <c r="H767" s="1"/>
    </row>
    <row r="768" spans="2:8" ht="15.75" customHeight="1" x14ac:dyDescent="0.25">
      <c r="B768" s="1"/>
      <c r="C768" s="1"/>
      <c r="H768" s="1"/>
    </row>
    <row r="769" spans="2:8" ht="15.75" customHeight="1" x14ac:dyDescent="0.25">
      <c r="B769" s="1"/>
      <c r="C769" s="1"/>
      <c r="H769" s="1"/>
    </row>
    <row r="770" spans="2:8" ht="15.75" customHeight="1" x14ac:dyDescent="0.25">
      <c r="B770" s="1"/>
      <c r="C770" s="1"/>
      <c r="H770" s="1"/>
    </row>
    <row r="771" spans="2:8" ht="15.75" customHeight="1" x14ac:dyDescent="0.25">
      <c r="B771" s="1"/>
      <c r="C771" s="1"/>
      <c r="H771" s="1"/>
    </row>
    <row r="772" spans="2:8" ht="15.75" customHeight="1" x14ac:dyDescent="0.25">
      <c r="B772" s="1"/>
      <c r="C772" s="1"/>
      <c r="H772" s="1"/>
    </row>
    <row r="773" spans="2:8" ht="15.75" customHeight="1" x14ac:dyDescent="0.25">
      <c r="B773" s="1"/>
      <c r="C773" s="1"/>
      <c r="H773" s="1"/>
    </row>
    <row r="774" spans="2:8" ht="15.75" customHeight="1" x14ac:dyDescent="0.25">
      <c r="B774" s="1"/>
      <c r="C774" s="1"/>
      <c r="H774" s="1"/>
    </row>
    <row r="775" spans="2:8" ht="15.75" customHeight="1" x14ac:dyDescent="0.25">
      <c r="B775" s="1"/>
      <c r="C775" s="1"/>
      <c r="H775" s="1"/>
    </row>
    <row r="776" spans="2:8" ht="15.75" customHeight="1" x14ac:dyDescent="0.25">
      <c r="B776" s="1"/>
      <c r="C776" s="1"/>
      <c r="H776" s="1"/>
    </row>
    <row r="777" spans="2:8" ht="15.75" customHeight="1" x14ac:dyDescent="0.25">
      <c r="B777" s="1"/>
      <c r="C777" s="1"/>
      <c r="H777" s="1"/>
    </row>
    <row r="778" spans="2:8" ht="15.75" customHeight="1" x14ac:dyDescent="0.25">
      <c r="B778" s="1"/>
      <c r="C778" s="1"/>
      <c r="H778" s="1"/>
    </row>
    <row r="779" spans="2:8" ht="15.75" customHeight="1" x14ac:dyDescent="0.25">
      <c r="B779" s="1"/>
      <c r="C779" s="1"/>
      <c r="H779" s="1"/>
    </row>
    <row r="780" spans="2:8" ht="15.75" customHeight="1" x14ac:dyDescent="0.25">
      <c r="B780" s="1"/>
      <c r="C780" s="1"/>
      <c r="H780" s="1"/>
    </row>
    <row r="781" spans="2:8" ht="15.75" customHeight="1" x14ac:dyDescent="0.25">
      <c r="B781" s="1"/>
      <c r="C781" s="1"/>
      <c r="H781" s="1"/>
    </row>
    <row r="782" spans="2:8" ht="15.75" customHeight="1" x14ac:dyDescent="0.25">
      <c r="B782" s="1"/>
      <c r="C782" s="1"/>
      <c r="H782" s="1"/>
    </row>
    <row r="783" spans="2:8" ht="15.75" customHeight="1" x14ac:dyDescent="0.25">
      <c r="B783" s="1"/>
      <c r="C783" s="1"/>
      <c r="H783" s="1"/>
    </row>
    <row r="784" spans="2:8" ht="15.75" customHeight="1" x14ac:dyDescent="0.25">
      <c r="B784" s="1"/>
      <c r="C784" s="1"/>
      <c r="H784" s="1"/>
    </row>
    <row r="785" spans="2:8" ht="15.75" customHeight="1" x14ac:dyDescent="0.25">
      <c r="B785" s="1"/>
      <c r="C785" s="1"/>
      <c r="H785" s="1"/>
    </row>
    <row r="786" spans="2:8" ht="15.75" customHeight="1" x14ac:dyDescent="0.25">
      <c r="B786" s="1"/>
      <c r="C786" s="1"/>
      <c r="H786" s="1"/>
    </row>
    <row r="787" spans="2:8" ht="15.75" customHeight="1" x14ac:dyDescent="0.25">
      <c r="B787" s="1"/>
      <c r="C787" s="1"/>
      <c r="H787" s="1"/>
    </row>
    <row r="788" spans="2:8" ht="15.75" customHeight="1" x14ac:dyDescent="0.25">
      <c r="B788" s="1"/>
      <c r="C788" s="1"/>
      <c r="H788" s="1"/>
    </row>
    <row r="789" spans="2:8" ht="15.75" customHeight="1" x14ac:dyDescent="0.25">
      <c r="B789" s="1"/>
      <c r="C789" s="1"/>
      <c r="H789" s="1"/>
    </row>
    <row r="790" spans="2:8" ht="15.75" customHeight="1" x14ac:dyDescent="0.25">
      <c r="B790" s="1"/>
      <c r="C790" s="1"/>
      <c r="H790" s="1"/>
    </row>
    <row r="791" spans="2:8" ht="15.75" customHeight="1" x14ac:dyDescent="0.25">
      <c r="B791" s="1"/>
      <c r="C791" s="1"/>
      <c r="H791" s="1"/>
    </row>
    <row r="792" spans="2:8" ht="15.75" customHeight="1" x14ac:dyDescent="0.25">
      <c r="B792" s="1"/>
      <c r="C792" s="1"/>
      <c r="H792" s="1"/>
    </row>
    <row r="793" spans="2:8" ht="15.75" customHeight="1" x14ac:dyDescent="0.25">
      <c r="B793" s="1"/>
      <c r="C793" s="1"/>
      <c r="H793" s="1"/>
    </row>
    <row r="794" spans="2:8" ht="15.75" customHeight="1" x14ac:dyDescent="0.25">
      <c r="B794" s="1"/>
      <c r="C794" s="1"/>
      <c r="H794" s="1"/>
    </row>
    <row r="795" spans="2:8" ht="15.75" customHeight="1" x14ac:dyDescent="0.25">
      <c r="B795" s="1"/>
      <c r="C795" s="1"/>
      <c r="H795" s="1"/>
    </row>
    <row r="796" spans="2:8" ht="15.75" customHeight="1" x14ac:dyDescent="0.25">
      <c r="B796" s="1"/>
      <c r="C796" s="1"/>
      <c r="H796" s="1"/>
    </row>
    <row r="797" spans="2:8" ht="15.75" customHeight="1" x14ac:dyDescent="0.25">
      <c r="B797" s="1"/>
      <c r="C797" s="1"/>
      <c r="H797" s="1"/>
    </row>
    <row r="798" spans="2:8" ht="15.75" customHeight="1" x14ac:dyDescent="0.25">
      <c r="B798" s="1"/>
      <c r="C798" s="1"/>
      <c r="H798" s="1"/>
    </row>
    <row r="799" spans="2:8" ht="15.75" customHeight="1" x14ac:dyDescent="0.25">
      <c r="B799" s="1"/>
      <c r="C799" s="1"/>
      <c r="H799" s="1"/>
    </row>
    <row r="800" spans="2:8" ht="15.75" customHeight="1" x14ac:dyDescent="0.25">
      <c r="B800" s="1"/>
      <c r="C800" s="1"/>
      <c r="H800" s="1"/>
    </row>
    <row r="801" spans="2:8" ht="15.75" customHeight="1" x14ac:dyDescent="0.25">
      <c r="B801" s="1"/>
      <c r="C801" s="1"/>
      <c r="H801" s="1"/>
    </row>
    <row r="802" spans="2:8" ht="15.75" customHeight="1" x14ac:dyDescent="0.25">
      <c r="B802" s="1"/>
      <c r="C802" s="1"/>
      <c r="H802" s="1"/>
    </row>
    <row r="803" spans="2:8" ht="15.75" customHeight="1" x14ac:dyDescent="0.25">
      <c r="B803" s="1"/>
      <c r="C803" s="1"/>
      <c r="H803" s="1"/>
    </row>
    <row r="804" spans="2:8" ht="15.75" customHeight="1" x14ac:dyDescent="0.25">
      <c r="B804" s="1"/>
      <c r="C804" s="1"/>
      <c r="H804" s="1"/>
    </row>
    <row r="805" spans="2:8" ht="15.75" customHeight="1" x14ac:dyDescent="0.25">
      <c r="B805" s="1"/>
      <c r="C805" s="1"/>
      <c r="H805" s="1"/>
    </row>
    <row r="806" spans="2:8" ht="15.75" customHeight="1" x14ac:dyDescent="0.25">
      <c r="B806" s="1"/>
      <c r="C806" s="1"/>
      <c r="H806" s="1"/>
    </row>
    <row r="807" spans="2:8" ht="15.75" customHeight="1" x14ac:dyDescent="0.25">
      <c r="B807" s="1"/>
      <c r="C807" s="1"/>
      <c r="H807" s="1"/>
    </row>
    <row r="808" spans="2:8" ht="15.75" customHeight="1" x14ac:dyDescent="0.25">
      <c r="B808" s="1"/>
      <c r="C808" s="1"/>
      <c r="H808" s="1"/>
    </row>
    <row r="809" spans="2:8" ht="15.75" customHeight="1" x14ac:dyDescent="0.25">
      <c r="B809" s="1"/>
      <c r="C809" s="1"/>
      <c r="H809" s="1"/>
    </row>
    <row r="810" spans="2:8" ht="15.75" customHeight="1" x14ac:dyDescent="0.25">
      <c r="B810" s="1"/>
      <c r="C810" s="1"/>
      <c r="H810" s="1"/>
    </row>
    <row r="811" spans="2:8" ht="15.75" customHeight="1" x14ac:dyDescent="0.25">
      <c r="B811" s="1"/>
      <c r="C811" s="1"/>
      <c r="H811" s="1"/>
    </row>
    <row r="812" spans="2:8" ht="15.75" customHeight="1" x14ac:dyDescent="0.25">
      <c r="B812" s="1"/>
      <c r="C812" s="1"/>
      <c r="H812" s="1"/>
    </row>
    <row r="813" spans="2:8" ht="15.75" customHeight="1" x14ac:dyDescent="0.25">
      <c r="B813" s="1"/>
      <c r="C813" s="1"/>
      <c r="H813" s="1"/>
    </row>
    <row r="814" spans="2:8" ht="15.75" customHeight="1" x14ac:dyDescent="0.25">
      <c r="B814" s="1"/>
      <c r="C814" s="1"/>
      <c r="H814" s="1"/>
    </row>
    <row r="815" spans="2:8" ht="15.75" customHeight="1" x14ac:dyDescent="0.25">
      <c r="B815" s="1"/>
      <c r="C815" s="1"/>
      <c r="H815" s="1"/>
    </row>
    <row r="816" spans="2:8" ht="15.75" customHeight="1" x14ac:dyDescent="0.25">
      <c r="B816" s="1"/>
      <c r="C816" s="1"/>
      <c r="H816" s="1"/>
    </row>
    <row r="817" spans="2:8" ht="15.75" customHeight="1" x14ac:dyDescent="0.25">
      <c r="B817" s="1"/>
      <c r="C817" s="1"/>
      <c r="H817" s="1"/>
    </row>
    <row r="818" spans="2:8" ht="15.75" customHeight="1" x14ac:dyDescent="0.25">
      <c r="B818" s="1"/>
      <c r="C818" s="1"/>
      <c r="H818" s="1"/>
    </row>
    <row r="819" spans="2:8" ht="15.75" customHeight="1" x14ac:dyDescent="0.25">
      <c r="B819" s="1"/>
      <c r="C819" s="1"/>
      <c r="H819" s="1"/>
    </row>
    <row r="820" spans="2:8" ht="15.75" customHeight="1" x14ac:dyDescent="0.25">
      <c r="B820" s="1"/>
      <c r="C820" s="1"/>
      <c r="H820" s="1"/>
    </row>
    <row r="821" spans="2:8" ht="15.75" customHeight="1" x14ac:dyDescent="0.25">
      <c r="B821" s="1"/>
      <c r="C821" s="1"/>
      <c r="H821" s="1"/>
    </row>
    <row r="822" spans="2:8" ht="15.75" customHeight="1" x14ac:dyDescent="0.25">
      <c r="B822" s="1"/>
      <c r="C822" s="1"/>
      <c r="H822" s="1"/>
    </row>
    <row r="823" spans="2:8" ht="15.75" customHeight="1" x14ac:dyDescent="0.25">
      <c r="B823" s="1"/>
      <c r="C823" s="1"/>
      <c r="H823" s="1"/>
    </row>
    <row r="824" spans="2:8" ht="15.75" customHeight="1" x14ac:dyDescent="0.25">
      <c r="B824" s="1"/>
      <c r="C824" s="1"/>
      <c r="H824" s="1"/>
    </row>
    <row r="825" spans="2:8" ht="15.75" customHeight="1" x14ac:dyDescent="0.25">
      <c r="B825" s="1"/>
      <c r="C825" s="1"/>
      <c r="H825" s="1"/>
    </row>
    <row r="826" spans="2:8" ht="15.75" customHeight="1" x14ac:dyDescent="0.25">
      <c r="B826" s="1"/>
      <c r="C826" s="1"/>
      <c r="H826" s="1"/>
    </row>
    <row r="827" spans="2:8" ht="15.75" customHeight="1" x14ac:dyDescent="0.25">
      <c r="B827" s="1"/>
      <c r="C827" s="1"/>
      <c r="H827" s="1"/>
    </row>
    <row r="828" spans="2:8" ht="15.75" customHeight="1" x14ac:dyDescent="0.25">
      <c r="B828" s="1"/>
      <c r="C828" s="1"/>
      <c r="H828" s="1"/>
    </row>
    <row r="829" spans="2:8" ht="15.75" customHeight="1" x14ac:dyDescent="0.25">
      <c r="B829" s="1"/>
      <c r="C829" s="1"/>
      <c r="H829" s="1"/>
    </row>
    <row r="830" spans="2:8" ht="15.75" customHeight="1" x14ac:dyDescent="0.25">
      <c r="B830" s="1"/>
      <c r="C830" s="1"/>
      <c r="H830" s="1"/>
    </row>
    <row r="831" spans="2:8" ht="15.75" customHeight="1" x14ac:dyDescent="0.25">
      <c r="B831" s="1"/>
      <c r="C831" s="1"/>
      <c r="H831" s="1"/>
    </row>
    <row r="832" spans="2:8" ht="15.75" customHeight="1" x14ac:dyDescent="0.25">
      <c r="B832" s="1"/>
      <c r="C832" s="1"/>
      <c r="H832" s="1"/>
    </row>
    <row r="833" spans="2:8" ht="15.75" customHeight="1" x14ac:dyDescent="0.25">
      <c r="B833" s="1"/>
      <c r="C833" s="1"/>
      <c r="H833" s="1"/>
    </row>
    <row r="834" spans="2:8" ht="15.75" customHeight="1" x14ac:dyDescent="0.25">
      <c r="B834" s="1"/>
      <c r="C834" s="1"/>
      <c r="H834" s="1"/>
    </row>
    <row r="835" spans="2:8" ht="15.75" customHeight="1" x14ac:dyDescent="0.25">
      <c r="B835" s="1"/>
      <c r="C835" s="1"/>
      <c r="H835" s="1"/>
    </row>
    <row r="836" spans="2:8" ht="15.75" customHeight="1" x14ac:dyDescent="0.25">
      <c r="B836" s="1"/>
      <c r="C836" s="1"/>
      <c r="H836" s="1"/>
    </row>
    <row r="837" spans="2:8" ht="15.75" customHeight="1" x14ac:dyDescent="0.25">
      <c r="B837" s="1"/>
      <c r="C837" s="1"/>
      <c r="H837" s="1"/>
    </row>
    <row r="838" spans="2:8" ht="15.75" customHeight="1" x14ac:dyDescent="0.25">
      <c r="B838" s="1"/>
      <c r="C838" s="1"/>
      <c r="H838" s="1"/>
    </row>
    <row r="839" spans="2:8" ht="15.75" customHeight="1" x14ac:dyDescent="0.25">
      <c r="B839" s="1"/>
      <c r="C839" s="1"/>
      <c r="H839" s="1"/>
    </row>
    <row r="840" spans="2:8" ht="15.75" customHeight="1" x14ac:dyDescent="0.25">
      <c r="B840" s="1"/>
      <c r="C840" s="1"/>
      <c r="H840" s="1"/>
    </row>
    <row r="841" spans="2:8" ht="15.75" customHeight="1" x14ac:dyDescent="0.25">
      <c r="B841" s="1"/>
      <c r="C841" s="1"/>
      <c r="H841" s="1"/>
    </row>
    <row r="842" spans="2:8" ht="15.75" customHeight="1" x14ac:dyDescent="0.25">
      <c r="B842" s="1"/>
      <c r="C842" s="1"/>
      <c r="H842" s="1"/>
    </row>
    <row r="843" spans="2:8" ht="15.75" customHeight="1" x14ac:dyDescent="0.25">
      <c r="B843" s="1"/>
      <c r="C843" s="1"/>
      <c r="H843" s="1"/>
    </row>
    <row r="844" spans="2:8" ht="15.75" customHeight="1" x14ac:dyDescent="0.25">
      <c r="B844" s="1"/>
      <c r="C844" s="1"/>
      <c r="H844" s="1"/>
    </row>
    <row r="845" spans="2:8" ht="15.75" customHeight="1" x14ac:dyDescent="0.25">
      <c r="B845" s="1"/>
      <c r="C845" s="1"/>
      <c r="H845" s="1"/>
    </row>
    <row r="846" spans="2:8" ht="15.75" customHeight="1" x14ac:dyDescent="0.25">
      <c r="B846" s="1"/>
      <c r="C846" s="1"/>
      <c r="H846" s="1"/>
    </row>
    <row r="847" spans="2:8" ht="15.75" customHeight="1" x14ac:dyDescent="0.25">
      <c r="B847" s="1"/>
      <c r="C847" s="1"/>
      <c r="H847" s="1"/>
    </row>
    <row r="848" spans="2:8" ht="15.75" customHeight="1" x14ac:dyDescent="0.25">
      <c r="B848" s="1"/>
      <c r="C848" s="1"/>
      <c r="H848" s="1"/>
    </row>
    <row r="849" spans="2:8" ht="15.75" customHeight="1" x14ac:dyDescent="0.25">
      <c r="B849" s="1"/>
      <c r="C849" s="1"/>
      <c r="H849" s="1"/>
    </row>
    <row r="850" spans="2:8" ht="15.75" customHeight="1" x14ac:dyDescent="0.25">
      <c r="B850" s="1"/>
      <c r="C850" s="1"/>
      <c r="H850" s="1"/>
    </row>
    <row r="851" spans="2:8" ht="15.75" customHeight="1" x14ac:dyDescent="0.25">
      <c r="B851" s="1"/>
      <c r="C851" s="1"/>
      <c r="H851" s="1"/>
    </row>
    <row r="852" spans="2:8" ht="15.75" customHeight="1" x14ac:dyDescent="0.25">
      <c r="B852" s="1"/>
      <c r="C852" s="1"/>
      <c r="H852" s="1"/>
    </row>
    <row r="853" spans="2:8" ht="15.75" customHeight="1" x14ac:dyDescent="0.25">
      <c r="B853" s="1"/>
      <c r="C853" s="1"/>
      <c r="H853" s="1"/>
    </row>
    <row r="854" spans="2:8" ht="15.75" customHeight="1" x14ac:dyDescent="0.25">
      <c r="B854" s="1"/>
      <c r="C854" s="1"/>
      <c r="H854" s="1"/>
    </row>
    <row r="855" spans="2:8" ht="15.75" customHeight="1" x14ac:dyDescent="0.25">
      <c r="B855" s="1"/>
      <c r="C855" s="1"/>
      <c r="H855" s="1"/>
    </row>
    <row r="856" spans="2:8" ht="15.75" customHeight="1" x14ac:dyDescent="0.25">
      <c r="B856" s="1"/>
      <c r="C856" s="1"/>
      <c r="H856" s="1"/>
    </row>
    <row r="857" spans="2:8" ht="15.75" customHeight="1" x14ac:dyDescent="0.25">
      <c r="B857" s="1"/>
      <c r="C857" s="1"/>
      <c r="H857" s="1"/>
    </row>
    <row r="858" spans="2:8" ht="15.75" customHeight="1" x14ac:dyDescent="0.25">
      <c r="B858" s="1"/>
      <c r="C858" s="1"/>
      <c r="H858" s="1"/>
    </row>
    <row r="859" spans="2:8" ht="15.75" customHeight="1" x14ac:dyDescent="0.25">
      <c r="B859" s="1"/>
      <c r="C859" s="1"/>
      <c r="H859" s="1"/>
    </row>
    <row r="860" spans="2:8" ht="15.75" customHeight="1" x14ac:dyDescent="0.25">
      <c r="B860" s="1"/>
      <c r="C860" s="1"/>
      <c r="H860" s="1"/>
    </row>
    <row r="861" spans="2:8" ht="15.75" customHeight="1" x14ac:dyDescent="0.25">
      <c r="B861" s="1"/>
      <c r="C861" s="1"/>
      <c r="H861" s="1"/>
    </row>
    <row r="862" spans="2:8" ht="15.75" customHeight="1" x14ac:dyDescent="0.25">
      <c r="B862" s="1"/>
      <c r="C862" s="1"/>
      <c r="H862" s="1"/>
    </row>
    <row r="863" spans="2:8" ht="15.75" customHeight="1" x14ac:dyDescent="0.25">
      <c r="B863" s="1"/>
      <c r="C863" s="1"/>
      <c r="H863" s="1"/>
    </row>
    <row r="864" spans="2:8" ht="15.75" customHeight="1" x14ac:dyDescent="0.25">
      <c r="B864" s="1"/>
      <c r="C864" s="1"/>
      <c r="H864" s="1"/>
    </row>
    <row r="865" spans="2:8" ht="15.75" customHeight="1" x14ac:dyDescent="0.25">
      <c r="B865" s="1"/>
      <c r="C865" s="1"/>
      <c r="H865" s="1"/>
    </row>
    <row r="866" spans="2:8" ht="15.75" customHeight="1" x14ac:dyDescent="0.25">
      <c r="B866" s="1"/>
      <c r="C866" s="1"/>
      <c r="H866" s="1"/>
    </row>
    <row r="867" spans="2:8" ht="15.75" customHeight="1" x14ac:dyDescent="0.25">
      <c r="B867" s="1"/>
      <c r="C867" s="1"/>
      <c r="H867" s="1"/>
    </row>
    <row r="868" spans="2:8" ht="15.75" customHeight="1" x14ac:dyDescent="0.25">
      <c r="B868" s="1"/>
      <c r="C868" s="1"/>
      <c r="H868" s="1"/>
    </row>
    <row r="869" spans="2:8" ht="15.75" customHeight="1" x14ac:dyDescent="0.25">
      <c r="B869" s="1"/>
      <c r="C869" s="1"/>
      <c r="H869" s="1"/>
    </row>
    <row r="870" spans="2:8" ht="15.75" customHeight="1" x14ac:dyDescent="0.25">
      <c r="B870" s="1"/>
      <c r="C870" s="1"/>
      <c r="H870" s="1"/>
    </row>
    <row r="871" spans="2:8" ht="15.75" customHeight="1" x14ac:dyDescent="0.25">
      <c r="B871" s="1"/>
      <c r="C871" s="1"/>
      <c r="H871" s="1"/>
    </row>
    <row r="872" spans="2:8" ht="15.75" customHeight="1" x14ac:dyDescent="0.25">
      <c r="B872" s="1"/>
      <c r="C872" s="1"/>
      <c r="H872" s="1"/>
    </row>
    <row r="873" spans="2:8" ht="15.75" customHeight="1" x14ac:dyDescent="0.25">
      <c r="B873" s="1"/>
      <c r="C873" s="1"/>
      <c r="H873" s="1"/>
    </row>
    <row r="874" spans="2:8" ht="15.75" customHeight="1" x14ac:dyDescent="0.25">
      <c r="B874" s="1"/>
      <c r="C874" s="1"/>
      <c r="H874" s="1"/>
    </row>
    <row r="875" spans="2:8" ht="15.75" customHeight="1" x14ac:dyDescent="0.25">
      <c r="B875" s="1"/>
      <c r="C875" s="1"/>
      <c r="H875" s="1"/>
    </row>
    <row r="876" spans="2:8" ht="15.75" customHeight="1" x14ac:dyDescent="0.25">
      <c r="B876" s="1"/>
      <c r="C876" s="1"/>
      <c r="H876" s="1"/>
    </row>
    <row r="877" spans="2:8" ht="15.75" customHeight="1" x14ac:dyDescent="0.25">
      <c r="B877" s="1"/>
      <c r="C877" s="1"/>
      <c r="H877" s="1"/>
    </row>
    <row r="878" spans="2:8" ht="15.75" customHeight="1" x14ac:dyDescent="0.25">
      <c r="B878" s="1"/>
      <c r="C878" s="1"/>
      <c r="H878" s="1"/>
    </row>
    <row r="879" spans="2:8" ht="15.75" customHeight="1" x14ac:dyDescent="0.25">
      <c r="B879" s="1"/>
      <c r="C879" s="1"/>
      <c r="H879" s="1"/>
    </row>
    <row r="880" spans="2:8" ht="15.75" customHeight="1" x14ac:dyDescent="0.25">
      <c r="B880" s="1"/>
      <c r="C880" s="1"/>
      <c r="H880" s="1"/>
    </row>
    <row r="881" spans="2:8" ht="15.75" customHeight="1" x14ac:dyDescent="0.25">
      <c r="B881" s="1"/>
      <c r="C881" s="1"/>
      <c r="H881" s="1"/>
    </row>
    <row r="882" spans="2:8" ht="15.75" customHeight="1" x14ac:dyDescent="0.25">
      <c r="B882" s="1"/>
      <c r="C882" s="1"/>
      <c r="H882" s="1"/>
    </row>
    <row r="883" spans="2:8" ht="15.75" customHeight="1" x14ac:dyDescent="0.25">
      <c r="B883" s="1"/>
      <c r="C883" s="1"/>
      <c r="H883" s="1"/>
    </row>
    <row r="884" spans="2:8" ht="15.75" customHeight="1" x14ac:dyDescent="0.25">
      <c r="B884" s="1"/>
      <c r="C884" s="1"/>
      <c r="H884" s="1"/>
    </row>
    <row r="885" spans="2:8" ht="15.75" customHeight="1" x14ac:dyDescent="0.25">
      <c r="B885" s="1"/>
      <c r="C885" s="1"/>
      <c r="H885" s="1"/>
    </row>
    <row r="886" spans="2:8" ht="15.75" customHeight="1" x14ac:dyDescent="0.25">
      <c r="B886" s="1"/>
      <c r="C886" s="1"/>
      <c r="H886" s="1"/>
    </row>
    <row r="887" spans="2:8" ht="15.75" customHeight="1" x14ac:dyDescent="0.25">
      <c r="B887" s="1"/>
      <c r="C887" s="1"/>
      <c r="H887" s="1"/>
    </row>
    <row r="888" spans="2:8" ht="15.75" customHeight="1" x14ac:dyDescent="0.25">
      <c r="B888" s="1"/>
      <c r="C888" s="1"/>
      <c r="H888" s="1"/>
    </row>
    <row r="889" spans="2:8" ht="15.75" customHeight="1" x14ac:dyDescent="0.25">
      <c r="B889" s="1"/>
      <c r="C889" s="1"/>
      <c r="H889" s="1"/>
    </row>
    <row r="890" spans="2:8" ht="15.75" customHeight="1" x14ac:dyDescent="0.25">
      <c r="B890" s="1"/>
      <c r="C890" s="1"/>
      <c r="H890" s="1"/>
    </row>
    <row r="891" spans="2:8" ht="15.75" customHeight="1" x14ac:dyDescent="0.25">
      <c r="B891" s="1"/>
      <c r="C891" s="1"/>
      <c r="H891" s="1"/>
    </row>
    <row r="892" spans="2:8" ht="15.75" customHeight="1" x14ac:dyDescent="0.25">
      <c r="B892" s="1"/>
      <c r="C892" s="1"/>
      <c r="H892" s="1"/>
    </row>
    <row r="893" spans="2:8" ht="15.75" customHeight="1" x14ac:dyDescent="0.25">
      <c r="B893" s="1"/>
      <c r="C893" s="1"/>
      <c r="H893" s="1"/>
    </row>
    <row r="894" spans="2:8" ht="15.75" customHeight="1" x14ac:dyDescent="0.25">
      <c r="B894" s="1"/>
      <c r="C894" s="1"/>
      <c r="H894" s="1"/>
    </row>
    <row r="895" spans="2:8" ht="15.75" customHeight="1" x14ac:dyDescent="0.25">
      <c r="B895" s="1"/>
      <c r="C895" s="1"/>
      <c r="H895" s="1"/>
    </row>
    <row r="896" spans="2:8" ht="15.75" customHeight="1" x14ac:dyDescent="0.25">
      <c r="B896" s="1"/>
      <c r="C896" s="1"/>
      <c r="H896" s="1"/>
    </row>
    <row r="897" spans="2:8" ht="15.75" customHeight="1" x14ac:dyDescent="0.25">
      <c r="B897" s="1"/>
      <c r="C897" s="1"/>
      <c r="H897" s="1"/>
    </row>
    <row r="898" spans="2:8" ht="15.75" customHeight="1" x14ac:dyDescent="0.25">
      <c r="B898" s="1"/>
      <c r="C898" s="1"/>
      <c r="H898" s="1"/>
    </row>
    <row r="899" spans="2:8" ht="15.75" customHeight="1" x14ac:dyDescent="0.25">
      <c r="B899" s="1"/>
      <c r="C899" s="1"/>
      <c r="H899" s="1"/>
    </row>
    <row r="900" spans="2:8" ht="15.75" customHeight="1" x14ac:dyDescent="0.25">
      <c r="B900" s="1"/>
      <c r="C900" s="1"/>
      <c r="H900" s="1"/>
    </row>
    <row r="901" spans="2:8" ht="15.75" customHeight="1" x14ac:dyDescent="0.25">
      <c r="B901" s="1"/>
      <c r="C901" s="1"/>
      <c r="H901" s="1"/>
    </row>
    <row r="902" spans="2:8" ht="15.75" customHeight="1" x14ac:dyDescent="0.25">
      <c r="B902" s="1"/>
      <c r="C902" s="1"/>
      <c r="H902" s="1"/>
    </row>
    <row r="903" spans="2:8" ht="15.75" customHeight="1" x14ac:dyDescent="0.25">
      <c r="B903" s="1"/>
      <c r="C903" s="1"/>
      <c r="H903" s="1"/>
    </row>
    <row r="904" spans="2:8" ht="15.75" customHeight="1" x14ac:dyDescent="0.25">
      <c r="B904" s="1"/>
      <c r="C904" s="1"/>
      <c r="H904" s="1"/>
    </row>
    <row r="905" spans="2:8" ht="15.75" customHeight="1" x14ac:dyDescent="0.25">
      <c r="B905" s="1"/>
      <c r="C905" s="1"/>
      <c r="H905" s="1"/>
    </row>
    <row r="906" spans="2:8" ht="15.75" customHeight="1" x14ac:dyDescent="0.25">
      <c r="B906" s="1"/>
      <c r="C906" s="1"/>
      <c r="H906" s="1"/>
    </row>
    <row r="907" spans="2:8" ht="15.75" customHeight="1" x14ac:dyDescent="0.25">
      <c r="B907" s="1"/>
      <c r="C907" s="1"/>
      <c r="H907" s="1"/>
    </row>
    <row r="908" spans="2:8" ht="15.75" customHeight="1" x14ac:dyDescent="0.25">
      <c r="B908" s="1"/>
      <c r="C908" s="1"/>
      <c r="H908" s="1"/>
    </row>
    <row r="909" spans="2:8" ht="15.75" customHeight="1" x14ac:dyDescent="0.25">
      <c r="B909" s="1"/>
      <c r="C909" s="1"/>
      <c r="H909" s="1"/>
    </row>
    <row r="910" spans="2:8" ht="15.75" customHeight="1" x14ac:dyDescent="0.25">
      <c r="B910" s="1"/>
      <c r="C910" s="1"/>
      <c r="H910" s="1"/>
    </row>
    <row r="911" spans="2:8" ht="15.75" customHeight="1" x14ac:dyDescent="0.25">
      <c r="B911" s="1"/>
      <c r="C911" s="1"/>
      <c r="H911" s="1"/>
    </row>
    <row r="912" spans="2:8" ht="15.75" customHeight="1" x14ac:dyDescent="0.25">
      <c r="B912" s="1"/>
      <c r="C912" s="1"/>
      <c r="H912" s="1"/>
    </row>
    <row r="913" spans="2:8" ht="15.75" customHeight="1" x14ac:dyDescent="0.25">
      <c r="B913" s="1"/>
      <c r="C913" s="1"/>
      <c r="H913" s="1"/>
    </row>
    <row r="914" spans="2:8" ht="15.75" customHeight="1" x14ac:dyDescent="0.25">
      <c r="B914" s="1"/>
      <c r="C914" s="1"/>
      <c r="H914" s="1"/>
    </row>
    <row r="915" spans="2:8" ht="15.75" customHeight="1" x14ac:dyDescent="0.25">
      <c r="B915" s="1"/>
      <c r="C915" s="1"/>
      <c r="H915" s="1"/>
    </row>
    <row r="916" spans="2:8" ht="15.75" customHeight="1" x14ac:dyDescent="0.25">
      <c r="B916" s="1"/>
      <c r="C916" s="1"/>
      <c r="H916" s="1"/>
    </row>
    <row r="917" spans="2:8" ht="15.75" customHeight="1" x14ac:dyDescent="0.25">
      <c r="B917" s="1"/>
      <c r="C917" s="1"/>
      <c r="H917" s="1"/>
    </row>
    <row r="918" spans="2:8" ht="15.75" customHeight="1" x14ac:dyDescent="0.25">
      <c r="B918" s="1"/>
      <c r="C918" s="1"/>
      <c r="H918" s="1"/>
    </row>
    <row r="919" spans="2:8" ht="15.75" customHeight="1" x14ac:dyDescent="0.25">
      <c r="B919" s="1"/>
      <c r="C919" s="1"/>
      <c r="H919" s="1"/>
    </row>
    <row r="920" spans="2:8" ht="15.75" customHeight="1" x14ac:dyDescent="0.25">
      <c r="B920" s="1"/>
      <c r="C920" s="1"/>
      <c r="H920" s="1"/>
    </row>
    <row r="921" spans="2:8" ht="15.75" customHeight="1" x14ac:dyDescent="0.25">
      <c r="B921" s="1"/>
      <c r="C921" s="1"/>
      <c r="H921" s="1"/>
    </row>
    <row r="922" spans="2:8" ht="15.75" customHeight="1" x14ac:dyDescent="0.25">
      <c r="B922" s="1"/>
      <c r="C922" s="1"/>
      <c r="H922" s="1"/>
    </row>
    <row r="923" spans="2:8" ht="15.75" customHeight="1" x14ac:dyDescent="0.25">
      <c r="B923" s="1"/>
      <c r="C923" s="1"/>
      <c r="H923" s="1"/>
    </row>
    <row r="924" spans="2:8" ht="15.75" customHeight="1" x14ac:dyDescent="0.25">
      <c r="B924" s="1"/>
      <c r="C924" s="1"/>
      <c r="H924" s="1"/>
    </row>
    <row r="925" spans="2:8" ht="15.75" customHeight="1" x14ac:dyDescent="0.25">
      <c r="B925" s="1"/>
      <c r="C925" s="1"/>
      <c r="H925" s="1"/>
    </row>
    <row r="926" spans="2:8" ht="15.75" customHeight="1" x14ac:dyDescent="0.25">
      <c r="B926" s="1"/>
      <c r="C926" s="1"/>
      <c r="H926" s="1"/>
    </row>
    <row r="927" spans="2:8" ht="15.75" customHeight="1" x14ac:dyDescent="0.25">
      <c r="B927" s="1"/>
      <c r="C927" s="1"/>
      <c r="H927" s="1"/>
    </row>
    <row r="928" spans="2:8" ht="15.75" customHeight="1" x14ac:dyDescent="0.25">
      <c r="B928" s="1"/>
      <c r="C928" s="1"/>
      <c r="H928" s="1"/>
    </row>
    <row r="929" spans="2:8" ht="15.75" customHeight="1" x14ac:dyDescent="0.25">
      <c r="B929" s="1"/>
      <c r="C929" s="1"/>
      <c r="H929" s="1"/>
    </row>
    <row r="930" spans="2:8" ht="15.75" customHeight="1" x14ac:dyDescent="0.25">
      <c r="B930" s="1"/>
      <c r="C930" s="1"/>
      <c r="H930" s="1"/>
    </row>
    <row r="931" spans="2:8" ht="15.75" customHeight="1" x14ac:dyDescent="0.25">
      <c r="B931" s="1"/>
      <c r="C931" s="1"/>
      <c r="H931" s="1"/>
    </row>
    <row r="932" spans="2:8" ht="15.75" customHeight="1" x14ac:dyDescent="0.25">
      <c r="B932" s="1"/>
      <c r="C932" s="1"/>
      <c r="H932" s="1"/>
    </row>
    <row r="933" spans="2:8" ht="15.75" customHeight="1" x14ac:dyDescent="0.25">
      <c r="B933" s="1"/>
      <c r="C933" s="1"/>
      <c r="H933" s="1"/>
    </row>
    <row r="934" spans="2:8" ht="15.75" customHeight="1" x14ac:dyDescent="0.25">
      <c r="B934" s="1"/>
      <c r="C934" s="1"/>
      <c r="H934" s="1"/>
    </row>
    <row r="935" spans="2:8" ht="15.75" customHeight="1" x14ac:dyDescent="0.25">
      <c r="B935" s="1"/>
      <c r="C935" s="1"/>
      <c r="H935" s="1"/>
    </row>
    <row r="936" spans="2:8" ht="15.75" customHeight="1" x14ac:dyDescent="0.25">
      <c r="B936" s="1"/>
      <c r="C936" s="1"/>
      <c r="H936" s="1"/>
    </row>
    <row r="937" spans="2:8" ht="15.75" customHeight="1" x14ac:dyDescent="0.25">
      <c r="B937" s="1"/>
      <c r="C937" s="1"/>
      <c r="H937" s="1"/>
    </row>
    <row r="938" spans="2:8" ht="15.75" customHeight="1" x14ac:dyDescent="0.25">
      <c r="B938" s="1"/>
      <c r="C938" s="1"/>
      <c r="H938" s="1"/>
    </row>
    <row r="939" spans="2:8" ht="15.75" customHeight="1" x14ac:dyDescent="0.25">
      <c r="B939" s="1"/>
      <c r="C939" s="1"/>
      <c r="H939" s="1"/>
    </row>
    <row r="940" spans="2:8" ht="15.75" customHeight="1" x14ac:dyDescent="0.25">
      <c r="B940" s="1"/>
      <c r="C940" s="1"/>
      <c r="H940" s="1"/>
    </row>
    <row r="941" spans="2:8" ht="15.75" customHeight="1" x14ac:dyDescent="0.25">
      <c r="B941" s="1"/>
      <c r="C941" s="1"/>
      <c r="H941" s="1"/>
    </row>
    <row r="942" spans="2:8" ht="15.75" customHeight="1" x14ac:dyDescent="0.25">
      <c r="B942" s="1"/>
      <c r="C942" s="1"/>
      <c r="H942" s="1"/>
    </row>
    <row r="943" spans="2:8" ht="15.75" customHeight="1" x14ac:dyDescent="0.25">
      <c r="B943" s="1"/>
      <c r="C943" s="1"/>
      <c r="H943" s="1"/>
    </row>
    <row r="944" spans="2:8" ht="15.75" customHeight="1" x14ac:dyDescent="0.25">
      <c r="B944" s="1"/>
      <c r="C944" s="1"/>
      <c r="H944" s="1"/>
    </row>
    <row r="945" spans="2:8" ht="15.75" customHeight="1" x14ac:dyDescent="0.25">
      <c r="B945" s="1"/>
      <c r="C945" s="1"/>
      <c r="H945" s="1"/>
    </row>
    <row r="946" spans="2:8" ht="15.75" customHeight="1" x14ac:dyDescent="0.25">
      <c r="B946" s="1"/>
      <c r="C946" s="1"/>
      <c r="H946" s="1"/>
    </row>
    <row r="947" spans="2:8" ht="15.75" customHeight="1" x14ac:dyDescent="0.25">
      <c r="B947" s="1"/>
      <c r="C947" s="1"/>
      <c r="H947" s="1"/>
    </row>
    <row r="948" spans="2:8" ht="15.75" customHeight="1" x14ac:dyDescent="0.25">
      <c r="B948" s="1"/>
      <c r="C948" s="1"/>
      <c r="H948" s="1"/>
    </row>
    <row r="949" spans="2:8" ht="15.75" customHeight="1" x14ac:dyDescent="0.25">
      <c r="B949" s="1"/>
      <c r="C949" s="1"/>
      <c r="H949" s="1"/>
    </row>
    <row r="950" spans="2:8" ht="15.75" customHeight="1" x14ac:dyDescent="0.25">
      <c r="B950" s="1"/>
      <c r="C950" s="1"/>
      <c r="H950" s="1"/>
    </row>
    <row r="951" spans="2:8" ht="15.75" customHeight="1" x14ac:dyDescent="0.25">
      <c r="B951" s="1"/>
      <c r="C951" s="1"/>
      <c r="H951" s="1"/>
    </row>
    <row r="952" spans="2:8" ht="15.75" customHeight="1" x14ac:dyDescent="0.25">
      <c r="B952" s="1"/>
      <c r="C952" s="1"/>
      <c r="H952" s="1"/>
    </row>
    <row r="953" spans="2:8" ht="15.75" customHeight="1" x14ac:dyDescent="0.25">
      <c r="B953" s="1"/>
      <c r="C953" s="1"/>
      <c r="H953" s="1"/>
    </row>
    <row r="954" spans="2:8" ht="15.75" customHeight="1" x14ac:dyDescent="0.25">
      <c r="B954" s="1"/>
      <c r="C954" s="1"/>
      <c r="H954" s="1"/>
    </row>
    <row r="955" spans="2:8" ht="15.75" customHeight="1" x14ac:dyDescent="0.25">
      <c r="B955" s="1"/>
      <c r="C955" s="1"/>
      <c r="H955" s="1"/>
    </row>
    <row r="956" spans="2:8" ht="15.75" customHeight="1" x14ac:dyDescent="0.25">
      <c r="B956" s="1"/>
      <c r="C956" s="1"/>
      <c r="H956" s="1"/>
    </row>
    <row r="957" spans="2:8" ht="15.75" customHeight="1" x14ac:dyDescent="0.25">
      <c r="B957" s="1"/>
      <c r="C957" s="1"/>
      <c r="H957" s="1"/>
    </row>
    <row r="958" spans="2:8" ht="15.75" customHeight="1" x14ac:dyDescent="0.25">
      <c r="B958" s="1"/>
      <c r="C958" s="1"/>
      <c r="H958" s="1"/>
    </row>
    <row r="959" spans="2:8" ht="15.75" customHeight="1" x14ac:dyDescent="0.25">
      <c r="B959" s="1"/>
      <c r="C959" s="1"/>
      <c r="H959" s="1"/>
    </row>
    <row r="960" spans="2:8" ht="15.75" customHeight="1" x14ac:dyDescent="0.25">
      <c r="B960" s="1"/>
      <c r="C960" s="1"/>
      <c r="H960" s="1"/>
    </row>
    <row r="961" spans="2:8" ht="15.75" customHeight="1" x14ac:dyDescent="0.25">
      <c r="B961" s="1"/>
      <c r="C961" s="1"/>
      <c r="H961" s="1"/>
    </row>
    <row r="962" spans="2:8" ht="15.75" customHeight="1" x14ac:dyDescent="0.25">
      <c r="B962" s="1"/>
      <c r="C962" s="1"/>
      <c r="H962" s="1"/>
    </row>
    <row r="963" spans="2:8" ht="15.75" customHeight="1" x14ac:dyDescent="0.25">
      <c r="B963" s="1"/>
      <c r="C963" s="1"/>
      <c r="H963" s="1"/>
    </row>
    <row r="964" spans="2:8" ht="15.75" customHeight="1" x14ac:dyDescent="0.25">
      <c r="B964" s="1"/>
      <c r="C964" s="1"/>
      <c r="H964" s="1"/>
    </row>
    <row r="965" spans="2:8" ht="15.75" customHeight="1" x14ac:dyDescent="0.25">
      <c r="B965" s="1"/>
      <c r="C965" s="1"/>
      <c r="H965" s="1"/>
    </row>
    <row r="966" spans="2:8" ht="15.75" customHeight="1" x14ac:dyDescent="0.25">
      <c r="B966" s="1"/>
      <c r="C966" s="1"/>
      <c r="H966" s="1"/>
    </row>
    <row r="967" spans="2:8" ht="15.75" customHeight="1" x14ac:dyDescent="0.25">
      <c r="B967" s="1"/>
      <c r="C967" s="1"/>
      <c r="H967" s="1"/>
    </row>
    <row r="968" spans="2:8" ht="15.75" customHeight="1" x14ac:dyDescent="0.25">
      <c r="B968" s="1"/>
      <c r="C968" s="1"/>
      <c r="H968" s="1"/>
    </row>
    <row r="969" spans="2:8" ht="15.75" customHeight="1" x14ac:dyDescent="0.25">
      <c r="B969" s="1"/>
      <c r="C969" s="1"/>
      <c r="H969" s="1"/>
    </row>
    <row r="970" spans="2:8" ht="15.75" customHeight="1" x14ac:dyDescent="0.25">
      <c r="B970" s="1"/>
      <c r="C970" s="1"/>
      <c r="H970" s="1"/>
    </row>
    <row r="971" spans="2:8" ht="15.75" customHeight="1" x14ac:dyDescent="0.25">
      <c r="B971" s="1"/>
      <c r="C971" s="1"/>
      <c r="H971" s="1"/>
    </row>
    <row r="972" spans="2:8" ht="15.75" customHeight="1" x14ac:dyDescent="0.25">
      <c r="B972" s="1"/>
      <c r="C972" s="1"/>
      <c r="H972" s="1"/>
    </row>
    <row r="973" spans="2:8" ht="15.75" customHeight="1" x14ac:dyDescent="0.25">
      <c r="B973" s="1"/>
      <c r="C973" s="1"/>
      <c r="H973" s="1"/>
    </row>
    <row r="974" spans="2:8" ht="15.75" customHeight="1" x14ac:dyDescent="0.25">
      <c r="B974" s="1"/>
      <c r="C974" s="1"/>
      <c r="H974" s="1"/>
    </row>
    <row r="975" spans="2:8" ht="15.75" customHeight="1" x14ac:dyDescent="0.25">
      <c r="B975" s="1"/>
      <c r="C975" s="1"/>
      <c r="H975" s="1"/>
    </row>
    <row r="976" spans="2:8" ht="15.75" customHeight="1" x14ac:dyDescent="0.25">
      <c r="B976" s="1"/>
      <c r="C976" s="1"/>
      <c r="H976" s="1"/>
    </row>
    <row r="977" spans="2:8" ht="15.75" customHeight="1" x14ac:dyDescent="0.25">
      <c r="B977" s="1"/>
      <c r="C977" s="1"/>
      <c r="H977" s="1"/>
    </row>
    <row r="978" spans="2:8" ht="15.75" customHeight="1" x14ac:dyDescent="0.25">
      <c r="B978" s="1"/>
      <c r="C978" s="1"/>
      <c r="H978" s="1"/>
    </row>
    <row r="979" spans="2:8" ht="15.75" customHeight="1" x14ac:dyDescent="0.25">
      <c r="B979" s="1"/>
      <c r="C979" s="1"/>
      <c r="H979" s="1"/>
    </row>
    <row r="980" spans="2:8" ht="15.75" customHeight="1" x14ac:dyDescent="0.25">
      <c r="B980" s="1"/>
      <c r="C980" s="1"/>
      <c r="H980" s="1"/>
    </row>
    <row r="981" spans="2:8" ht="15.75" customHeight="1" x14ac:dyDescent="0.25">
      <c r="B981" s="1"/>
      <c r="C981" s="1"/>
      <c r="H981" s="1"/>
    </row>
    <row r="982" spans="2:8" ht="15.75" customHeight="1" x14ac:dyDescent="0.25">
      <c r="B982" s="1"/>
      <c r="C982" s="1"/>
      <c r="H982" s="1"/>
    </row>
    <row r="983" spans="2:8" ht="15.75" customHeight="1" x14ac:dyDescent="0.25">
      <c r="B983" s="1"/>
      <c r="C983" s="1"/>
      <c r="H983" s="1"/>
    </row>
    <row r="984" spans="2:8" ht="15.75" customHeight="1" x14ac:dyDescent="0.25">
      <c r="B984" s="1"/>
      <c r="C984" s="1"/>
      <c r="H984" s="1"/>
    </row>
    <row r="985" spans="2:8" ht="15.75" customHeight="1" x14ac:dyDescent="0.25">
      <c r="B985" s="1"/>
      <c r="C985" s="1"/>
      <c r="H985" s="1"/>
    </row>
    <row r="986" spans="2:8" ht="15.75" customHeight="1" x14ac:dyDescent="0.25">
      <c r="B986" s="1"/>
      <c r="C986" s="1"/>
      <c r="H986" s="1"/>
    </row>
    <row r="987" spans="2:8" ht="15.75" customHeight="1" x14ac:dyDescent="0.25">
      <c r="B987" s="1"/>
      <c r="C987" s="1"/>
      <c r="H987" s="1"/>
    </row>
    <row r="988" spans="2:8" ht="15.75" customHeight="1" x14ac:dyDescent="0.25">
      <c r="B988" s="1"/>
      <c r="C988" s="1"/>
      <c r="H988" s="1"/>
    </row>
    <row r="989" spans="2:8" ht="15.75" customHeight="1" x14ac:dyDescent="0.25">
      <c r="B989" s="1"/>
      <c r="C989" s="1"/>
      <c r="H989" s="1"/>
    </row>
    <row r="990" spans="2:8" ht="15.75" customHeight="1" x14ac:dyDescent="0.25">
      <c r="B990" s="1"/>
      <c r="C990" s="1"/>
      <c r="H990" s="1"/>
    </row>
    <row r="991" spans="2:8" ht="15.75" customHeight="1" x14ac:dyDescent="0.25">
      <c r="B991" s="1"/>
      <c r="C991" s="1"/>
      <c r="H991" s="1"/>
    </row>
    <row r="992" spans="2:8" ht="15.75" customHeight="1" x14ac:dyDescent="0.25">
      <c r="B992" s="1"/>
      <c r="C992" s="1"/>
      <c r="H992" s="1"/>
    </row>
    <row r="993" spans="2:8" ht="15.75" customHeight="1" x14ac:dyDescent="0.25">
      <c r="B993" s="1"/>
      <c r="C993" s="1"/>
      <c r="H993" s="1"/>
    </row>
    <row r="994" spans="2:8" ht="15.75" customHeight="1" x14ac:dyDescent="0.25">
      <c r="B994" s="1"/>
      <c r="C994" s="1"/>
      <c r="H994" s="1"/>
    </row>
    <row r="995" spans="2:8" ht="15.75" customHeight="1" x14ac:dyDescent="0.25">
      <c r="B995" s="1"/>
      <c r="C995" s="1"/>
      <c r="H995" s="1"/>
    </row>
    <row r="996" spans="2:8" ht="15.75" customHeight="1" x14ac:dyDescent="0.25">
      <c r="B996" s="1"/>
      <c r="C996" s="1"/>
      <c r="H996" s="1"/>
    </row>
    <row r="997" spans="2:8" ht="15.75" customHeight="1" x14ac:dyDescent="0.25">
      <c r="B997" s="1"/>
      <c r="C997" s="1"/>
      <c r="H997" s="1"/>
    </row>
    <row r="998" spans="2:8" ht="15.75" customHeight="1" x14ac:dyDescent="0.25">
      <c r="B998" s="1"/>
      <c r="C998" s="1"/>
      <c r="H998" s="1"/>
    </row>
    <row r="999" spans="2:8" ht="15.75" customHeight="1" x14ac:dyDescent="0.25">
      <c r="B999" s="1"/>
      <c r="C999" s="1"/>
      <c r="H999" s="1"/>
    </row>
    <row r="1000" spans="2:8" ht="15.75" customHeight="1" x14ac:dyDescent="0.25">
      <c r="B1000" s="1"/>
      <c r="C1000" s="1"/>
      <c r="H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tabSelected="1" zoomScale="115" zoomScaleNormal="115" workbookViewId="0">
      <selection activeCell="Z3" sqref="Z3:Z32"/>
    </sheetView>
  </sheetViews>
  <sheetFormatPr defaultColWidth="14.42578125" defaultRowHeight="15" customHeight="1" x14ac:dyDescent="0.25"/>
  <cols>
    <col min="1" max="1" width="9.42578125" customWidth="1"/>
    <col min="2" max="2" width="8.85546875" customWidth="1"/>
    <col min="3" max="3" width="12.85546875" customWidth="1"/>
    <col min="4" max="4" width="8.28515625" customWidth="1"/>
    <col min="5" max="5" width="9.140625" customWidth="1"/>
    <col min="6" max="6" width="25" customWidth="1"/>
    <col min="7" max="9" width="6.140625" hidden="1" customWidth="1"/>
    <col min="10" max="10" width="7.85546875" hidden="1" customWidth="1"/>
    <col min="11" max="11" width="6.5703125" hidden="1" customWidth="1"/>
    <col min="12" max="12" width="6.28515625" hidden="1" customWidth="1"/>
    <col min="13" max="13" width="9" hidden="1" customWidth="1"/>
    <col min="14" max="14" width="6.42578125" hidden="1" customWidth="1"/>
    <col min="15" max="15" width="7" hidden="1" customWidth="1"/>
    <col min="16" max="16" width="6" hidden="1" customWidth="1"/>
    <col min="17" max="17" width="15.28515625" hidden="1" customWidth="1"/>
    <col min="18" max="18" width="5.5703125" customWidth="1"/>
    <col min="19" max="19" width="9.5703125" bestFit="1" customWidth="1"/>
    <col min="20" max="20" width="8.42578125" bestFit="1" customWidth="1"/>
    <col min="21" max="21" width="12" customWidth="1"/>
    <col min="22" max="22" width="14.5703125" bestFit="1" customWidth="1"/>
    <col min="23" max="27" width="8.7109375" customWidth="1"/>
  </cols>
  <sheetData>
    <row r="1" spans="1:26" x14ac:dyDescent="0.25">
      <c r="G1" s="2">
        <v>2</v>
      </c>
      <c r="H1" s="2">
        <f t="shared" ref="H1:R1" si="0">G1+1</f>
        <v>3</v>
      </c>
      <c r="I1" s="2">
        <f t="shared" si="0"/>
        <v>4</v>
      </c>
      <c r="J1" s="2">
        <f t="shared" si="0"/>
        <v>5</v>
      </c>
      <c r="K1" s="2">
        <f t="shared" si="0"/>
        <v>6</v>
      </c>
      <c r="L1" s="2">
        <f t="shared" si="0"/>
        <v>7</v>
      </c>
      <c r="M1" s="2">
        <f t="shared" si="0"/>
        <v>8</v>
      </c>
      <c r="N1" s="2">
        <f t="shared" si="0"/>
        <v>9</v>
      </c>
      <c r="O1" s="2">
        <f t="shared" si="0"/>
        <v>10</v>
      </c>
      <c r="P1" s="2">
        <f t="shared" si="0"/>
        <v>11</v>
      </c>
      <c r="Q1" s="2">
        <f t="shared" si="0"/>
        <v>12</v>
      </c>
      <c r="R1" s="2">
        <f t="shared" si="0"/>
        <v>13</v>
      </c>
      <c r="S1" s="2">
        <v>14</v>
      </c>
      <c r="T1" s="2">
        <v>15</v>
      </c>
      <c r="U1">
        <v>16</v>
      </c>
    </row>
    <row r="2" spans="1:26" x14ac:dyDescent="0.25">
      <c r="A2" s="2" t="s">
        <v>11</v>
      </c>
      <c r="B2" s="2" t="s">
        <v>12</v>
      </c>
      <c r="D2" s="6" t="s">
        <v>13</v>
      </c>
      <c r="E2" s="3" t="s">
        <v>0</v>
      </c>
      <c r="F2" s="3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8" t="s">
        <v>71</v>
      </c>
      <c r="M2" s="9" t="s">
        <v>77</v>
      </c>
      <c r="N2" s="2" t="s">
        <v>20</v>
      </c>
      <c r="O2" s="2" t="s">
        <v>21</v>
      </c>
      <c r="P2" s="9" t="s">
        <v>76</v>
      </c>
      <c r="Q2" s="1" t="s">
        <v>22</v>
      </c>
      <c r="R2" s="1" t="s">
        <v>23</v>
      </c>
      <c r="S2" s="1" t="s">
        <v>72</v>
      </c>
      <c r="T2" s="1" t="s">
        <v>73</v>
      </c>
      <c r="U2" s="2" t="s">
        <v>38</v>
      </c>
      <c r="V2" s="9" t="s">
        <v>79</v>
      </c>
      <c r="W2" s="9" t="s">
        <v>81</v>
      </c>
      <c r="X2" s="13" t="s">
        <v>82</v>
      </c>
      <c r="Y2" s="13" t="s">
        <v>114</v>
      </c>
      <c r="Z2" s="13" t="s">
        <v>113</v>
      </c>
    </row>
    <row r="3" spans="1:26" ht="15.75" x14ac:dyDescent="0.25">
      <c r="A3" s="4">
        <v>1</v>
      </c>
      <c r="B3" s="8" t="s">
        <v>70</v>
      </c>
      <c r="D3" s="6">
        <v>1</v>
      </c>
      <c r="E3" s="3" t="str">
        <f>VLOOKUP(1,Draft!$A$2:$B$12,2,FALSE)</f>
        <v>Otto</v>
      </c>
      <c r="F3" s="3" t="s">
        <v>27</v>
      </c>
      <c r="G3" s="10">
        <f t="shared" ref="G3:U12" si="1">VLOOKUP($F3,$F$41:$U$72,G$1,FALSE)</f>
        <v>11</v>
      </c>
      <c r="H3" s="10">
        <f t="shared" si="1"/>
        <v>10.4</v>
      </c>
      <c r="I3" s="10">
        <f t="shared" si="1"/>
        <v>11</v>
      </c>
      <c r="J3" s="10">
        <f t="shared" si="1"/>
        <v>13</v>
      </c>
      <c r="K3" s="10">
        <f t="shared" si="1"/>
        <v>12</v>
      </c>
      <c r="L3" s="10">
        <f t="shared" si="1"/>
        <v>11.3</v>
      </c>
      <c r="M3" s="10">
        <f t="shared" si="1"/>
        <v>10.9056</v>
      </c>
      <c r="N3" s="10">
        <f t="shared" si="1"/>
        <v>11.4</v>
      </c>
      <c r="O3" s="10">
        <f t="shared" si="1"/>
        <v>11.5</v>
      </c>
      <c r="P3" s="10">
        <f t="shared" si="1"/>
        <v>11.4</v>
      </c>
      <c r="Q3" s="10">
        <f t="shared" si="1"/>
        <v>11.390560000000002</v>
      </c>
      <c r="R3" s="10">
        <f t="shared" si="1"/>
        <v>0.6710842140894091</v>
      </c>
      <c r="S3" s="10">
        <f t="shared" si="1"/>
        <v>1.4703236448671753</v>
      </c>
      <c r="T3" s="10">
        <f t="shared" si="1"/>
        <v>3.6596900309565727</v>
      </c>
      <c r="U3" s="10">
        <f t="shared" si="1"/>
        <v>1</v>
      </c>
      <c r="V3" s="10">
        <f>IF(Table2[[#This Row],[Pick]]&gt;=Table2[[#This Row],[Rank]],1,-1)</f>
        <v>1</v>
      </c>
      <c r="W3" s="10">
        <f>Table2[[#This Row],[Pick]]-Table2[[#This Row],[Rank]]</f>
        <v>0</v>
      </c>
      <c r="X3" s="12">
        <v>6</v>
      </c>
      <c r="Y3" s="12" t="s">
        <v>104</v>
      </c>
      <c r="Z3" s="14" t="str">
        <f>"2024,"&amp;Table2[[#This Row],[Pick]]&amp;","&amp;Table2[[#This Row],[PlayerID]]&amp;","&amp;Table2[[#This Row],[T1]]</f>
        <v>2024,1,6,KC</v>
      </c>
    </row>
    <row r="4" spans="1:26" ht="15.75" x14ac:dyDescent="0.25">
      <c r="A4" s="4">
        <v>2</v>
      </c>
      <c r="B4" s="8" t="s">
        <v>7</v>
      </c>
      <c r="D4" s="6">
        <v>2</v>
      </c>
      <c r="E4" s="3" t="str">
        <f>VLOOKUP(2,Draft!$A$2:$B$12,2,FALSE)</f>
        <v>Conley</v>
      </c>
      <c r="F4" s="3" t="s">
        <v>39</v>
      </c>
      <c r="G4" s="10">
        <f t="shared" si="1"/>
        <v>8</v>
      </c>
      <c r="H4" s="10">
        <f t="shared" si="1"/>
        <v>9.5</v>
      </c>
      <c r="I4" s="10">
        <f t="shared" si="1"/>
        <v>9</v>
      </c>
      <c r="J4" s="10">
        <f t="shared" si="1"/>
        <v>11</v>
      </c>
      <c r="K4" s="10">
        <f t="shared" si="1"/>
        <v>10</v>
      </c>
      <c r="L4" s="10">
        <f t="shared" si="1"/>
        <v>10</v>
      </c>
      <c r="M4" s="10">
        <f t="shared" si="1"/>
        <v>9.6039999999999992</v>
      </c>
      <c r="N4" s="10">
        <f t="shared" si="1"/>
        <v>9.1999999999999993</v>
      </c>
      <c r="O4" s="10">
        <f t="shared" si="1"/>
        <v>9.5</v>
      </c>
      <c r="P4" s="10">
        <f t="shared" si="1"/>
        <v>11.3</v>
      </c>
      <c r="Q4" s="10">
        <f t="shared" si="1"/>
        <v>9.7103999999999999</v>
      </c>
      <c r="R4" s="10">
        <f t="shared" si="1"/>
        <v>0.90267017232209479</v>
      </c>
      <c r="S4" s="10">
        <f t="shared" si="1"/>
        <v>0.61789858287396893</v>
      </c>
      <c r="T4" s="10">
        <f t="shared" si="1"/>
        <v>3.9495606019358105</v>
      </c>
      <c r="U4" s="10">
        <f t="shared" si="1"/>
        <v>10</v>
      </c>
      <c r="V4" s="10">
        <f>IF(Table2[[#This Row],[Pick]]&gt;=Table2[[#This Row],[Rank]],1,-1)</f>
        <v>-1</v>
      </c>
      <c r="W4" s="10">
        <f>Table2[[#This Row],[Pick]]-Table2[[#This Row],[Rank]]</f>
        <v>-8</v>
      </c>
      <c r="X4" s="12">
        <v>8</v>
      </c>
      <c r="Y4" s="12" t="s">
        <v>91</v>
      </c>
      <c r="Z4" s="12" t="str">
        <f>"2024,"&amp;Table2[[#This Row],[Pick]]&amp;","&amp;Table2[[#This Row],[PlayerID]]&amp;","&amp;Table2[[#This Row],[T1]]</f>
        <v>2024,2,8,DAL</v>
      </c>
    </row>
    <row r="5" spans="1:26" ht="15.75" x14ac:dyDescent="0.25">
      <c r="A5" s="4">
        <v>3</v>
      </c>
      <c r="B5" s="2" t="s">
        <v>8</v>
      </c>
      <c r="D5" s="6">
        <v>3</v>
      </c>
      <c r="E5" s="3" t="str">
        <f>VLOOKUP(3,Draft!$A$2:$B$12,2,FALSE)</f>
        <v>Brad</v>
      </c>
      <c r="F5" s="3" t="s">
        <v>40</v>
      </c>
      <c r="G5" s="10">
        <f t="shared" si="1"/>
        <v>11</v>
      </c>
      <c r="H5" s="10">
        <f t="shared" si="1"/>
        <v>10.4</v>
      </c>
      <c r="I5" s="10">
        <f t="shared" si="1"/>
        <v>10</v>
      </c>
      <c r="J5" s="10">
        <f t="shared" si="1"/>
        <v>10</v>
      </c>
      <c r="K5" s="10">
        <f t="shared" si="1"/>
        <v>11</v>
      </c>
      <c r="L5" s="10">
        <f t="shared" si="1"/>
        <v>11.4</v>
      </c>
      <c r="M5" s="10">
        <f t="shared" si="1"/>
        <v>10.6623</v>
      </c>
      <c r="N5" s="10">
        <f t="shared" si="1"/>
        <v>11</v>
      </c>
      <c r="O5" s="10">
        <f t="shared" si="1"/>
        <v>11.5</v>
      </c>
      <c r="P5" s="10">
        <f t="shared" si="1"/>
        <v>12.3</v>
      </c>
      <c r="Q5" s="10">
        <f t="shared" si="1"/>
        <v>10.92623</v>
      </c>
      <c r="R5" s="10">
        <f t="shared" si="1"/>
        <v>0.67228127751708222</v>
      </c>
      <c r="S5" s="10">
        <f t="shared" si="1"/>
        <v>1.2347469563164974</v>
      </c>
      <c r="T5" s="10">
        <f t="shared" si="1"/>
        <v>4.6948670997009438</v>
      </c>
      <c r="U5" s="10">
        <f t="shared" si="1"/>
        <v>3</v>
      </c>
      <c r="V5" s="10">
        <f>IF(Table2[[#This Row],[Pick]]&gt;=Table2[[#This Row],[Rank]],1,-1)</f>
        <v>1</v>
      </c>
      <c r="W5" s="10">
        <f>Table2[[#This Row],[Pick]]-Table2[[#This Row],[Rank]]</f>
        <v>0</v>
      </c>
      <c r="X5" s="12">
        <v>3</v>
      </c>
      <c r="Y5" s="12" t="s">
        <v>111</v>
      </c>
      <c r="Z5" s="12" t="str">
        <f>"2024,"&amp;Table2[[#This Row],[Pick]]&amp;","&amp;Table2[[#This Row],[PlayerID]]&amp;","&amp;Table2[[#This Row],[T1]]</f>
        <v>2024,3,3,SF</v>
      </c>
    </row>
    <row r="6" spans="1:26" ht="15.75" x14ac:dyDescent="0.25">
      <c r="A6" s="4">
        <v>4</v>
      </c>
      <c r="B6" s="8" t="s">
        <v>5</v>
      </c>
      <c r="D6" s="6">
        <v>4</v>
      </c>
      <c r="E6" s="3" t="str">
        <f>VLOOKUP(4,Draft!$A$2:$B$12,2,FALSE)</f>
        <v>Flaim</v>
      </c>
      <c r="F6" s="3" t="s">
        <v>51</v>
      </c>
      <c r="G6" s="10">
        <f t="shared" si="1"/>
        <v>13</v>
      </c>
      <c r="H6" s="10">
        <f t="shared" si="1"/>
        <v>9.9</v>
      </c>
      <c r="I6" s="10">
        <f t="shared" si="1"/>
        <v>12</v>
      </c>
      <c r="J6" s="10">
        <f t="shared" si="1"/>
        <v>13</v>
      </c>
      <c r="K6" s="10">
        <f t="shared" si="1"/>
        <v>12</v>
      </c>
      <c r="L6" s="10">
        <f t="shared" si="1"/>
        <v>10.5</v>
      </c>
      <c r="M6" s="10">
        <f t="shared" si="1"/>
        <v>9.7087000000000003</v>
      </c>
      <c r="N6" s="10">
        <f t="shared" si="1"/>
        <v>10.7</v>
      </c>
      <c r="O6" s="10">
        <f t="shared" si="1"/>
        <v>10.5</v>
      </c>
      <c r="P6" s="10">
        <f t="shared" si="1"/>
        <v>10.7</v>
      </c>
      <c r="Q6" s="10">
        <f t="shared" si="1"/>
        <v>11.20087</v>
      </c>
      <c r="R6" s="10">
        <f t="shared" si="1"/>
        <v>1.1469074993651358</v>
      </c>
      <c r="S6" s="10">
        <f t="shared" si="1"/>
        <v>1.3740848878383845</v>
      </c>
      <c r="T6" s="10">
        <f t="shared" si="1"/>
        <v>4.0896036856555691</v>
      </c>
      <c r="U6" s="10">
        <f t="shared" si="1"/>
        <v>2</v>
      </c>
      <c r="V6" s="10">
        <f>IF(Table2[[#This Row],[Pick]]&gt;=Table2[[#This Row],[Rank]],1,-1)</f>
        <v>1</v>
      </c>
      <c r="W6" s="10">
        <f>Table2[[#This Row],[Pick]]-Table2[[#This Row],[Rank]]</f>
        <v>2</v>
      </c>
      <c r="X6" s="12">
        <v>7</v>
      </c>
      <c r="Y6" s="12" t="s">
        <v>95</v>
      </c>
      <c r="Z6" s="12" t="str">
        <f>"2024,"&amp;Table2[[#This Row],[Pick]]&amp;","&amp;Table2[[#This Row],[PlayerID]]&amp;","&amp;Table2[[#This Row],[T1]]</f>
        <v>2024,4,7,DET</v>
      </c>
    </row>
    <row r="7" spans="1:26" ht="15.75" x14ac:dyDescent="0.25">
      <c r="A7" s="4">
        <v>5</v>
      </c>
      <c r="B7" s="8" t="s">
        <v>6</v>
      </c>
      <c r="D7" s="6">
        <v>5</v>
      </c>
      <c r="E7" s="3" t="str">
        <f>VLOOKUP(5,Draft!$A$2:$B$12,2,FALSE)</f>
        <v>Fish</v>
      </c>
      <c r="F7" s="3" t="s">
        <v>28</v>
      </c>
      <c r="G7" s="10">
        <f t="shared" si="1"/>
        <v>11</v>
      </c>
      <c r="H7" s="10">
        <f t="shared" si="1"/>
        <v>9.6999999999999993</v>
      </c>
      <c r="I7" s="10">
        <f t="shared" si="1"/>
        <v>10</v>
      </c>
      <c r="J7" s="10">
        <f t="shared" si="1"/>
        <v>11</v>
      </c>
      <c r="K7" s="10">
        <f t="shared" si="1"/>
        <v>12</v>
      </c>
      <c r="L7" s="10">
        <f t="shared" si="1"/>
        <v>10.199999999999999</v>
      </c>
      <c r="M7" s="10">
        <f t="shared" si="1"/>
        <v>10.217499999999999</v>
      </c>
      <c r="N7" s="10">
        <f t="shared" si="1"/>
        <v>10.5</v>
      </c>
      <c r="O7" s="10">
        <f t="shared" si="1"/>
        <v>10.5</v>
      </c>
      <c r="P7" s="10">
        <f t="shared" si="1"/>
        <v>11.3</v>
      </c>
      <c r="Q7" s="10">
        <f t="shared" si="1"/>
        <v>10.64175</v>
      </c>
      <c r="R7" s="10">
        <f t="shared" si="1"/>
        <v>0.65183399918997798</v>
      </c>
      <c r="S7" s="10">
        <f t="shared" si="1"/>
        <v>1.0904167248886409</v>
      </c>
      <c r="T7" s="10">
        <f t="shared" si="1"/>
        <v>3.7649889152011182</v>
      </c>
      <c r="U7" s="10">
        <f t="shared" si="1"/>
        <v>4</v>
      </c>
      <c r="V7" s="10">
        <f>IF(Table2[[#This Row],[Pick]]&gt;=Table2[[#This Row],[Rank]],1,-1)</f>
        <v>1</v>
      </c>
      <c r="W7" s="10">
        <f>Table2[[#This Row],[Pick]]-Table2[[#This Row],[Rank]]</f>
        <v>1</v>
      </c>
      <c r="X7" s="12">
        <v>1</v>
      </c>
      <c r="Y7" s="12" t="s">
        <v>93</v>
      </c>
      <c r="Z7" s="12" t="str">
        <f>"2024,"&amp;Table2[[#This Row],[Pick]]&amp;","&amp;Table2[[#This Row],[PlayerID]]&amp;","&amp;Table2[[#This Row],[T1]]</f>
        <v>2024,5,1,BAL</v>
      </c>
    </row>
    <row r="8" spans="1:26" ht="15.75" x14ac:dyDescent="0.25">
      <c r="A8" s="4">
        <v>6</v>
      </c>
      <c r="B8" s="8" t="s">
        <v>3</v>
      </c>
      <c r="D8" s="6">
        <v>6</v>
      </c>
      <c r="E8" s="3" t="str">
        <f>VLOOKUP(6,Draft!$A$2:$B$12,2,FALSE)</f>
        <v>Rubino</v>
      </c>
      <c r="F8" s="3" t="s">
        <v>25</v>
      </c>
      <c r="G8" s="10">
        <f t="shared" si="1"/>
        <v>10</v>
      </c>
      <c r="H8" s="10">
        <f t="shared" si="1"/>
        <v>9.1999999999999993</v>
      </c>
      <c r="I8" s="10">
        <f t="shared" si="1"/>
        <v>12</v>
      </c>
      <c r="J8" s="10">
        <f t="shared" si="1"/>
        <v>11</v>
      </c>
      <c r="K8" s="10">
        <f t="shared" si="1"/>
        <v>11</v>
      </c>
      <c r="L8" s="10">
        <f t="shared" si="1"/>
        <v>9.8000000000000007</v>
      </c>
      <c r="M8" s="10">
        <f t="shared" si="1"/>
        <v>9.2241</v>
      </c>
      <c r="N8" s="10">
        <f t="shared" si="1"/>
        <v>9.8000000000000007</v>
      </c>
      <c r="O8" s="10">
        <f t="shared" si="1"/>
        <v>9.5</v>
      </c>
      <c r="P8" s="10">
        <f t="shared" si="1"/>
        <v>9</v>
      </c>
      <c r="Q8" s="10">
        <f t="shared" si="1"/>
        <v>10.052409999999998</v>
      </c>
      <c r="R8" s="10">
        <f t="shared" si="1"/>
        <v>0.92436749883366187</v>
      </c>
      <c r="S8" s="10">
        <f t="shared" si="1"/>
        <v>0.79141651893499565</v>
      </c>
      <c r="T8" s="10">
        <f t="shared" si="1"/>
        <v>3.5540011508213523</v>
      </c>
      <c r="U8" s="10">
        <f t="shared" si="1"/>
        <v>7</v>
      </c>
      <c r="V8" s="10">
        <f>IF(Table2[[#This Row],[Pick]]&gt;=Table2[[#This Row],[Rank]],1,-1)</f>
        <v>-1</v>
      </c>
      <c r="W8" s="10">
        <f>Table2[[#This Row],[Pick]]-Table2[[#This Row],[Rank]]</f>
        <v>-1</v>
      </c>
      <c r="X8" s="12">
        <v>9</v>
      </c>
      <c r="Y8" s="12" t="s">
        <v>102</v>
      </c>
      <c r="Z8" s="12" t="str">
        <f>"2024,"&amp;Table2[[#This Row],[Pick]]&amp;","&amp;Table2[[#This Row],[PlayerID]]&amp;","&amp;Table2[[#This Row],[T1]]</f>
        <v>2024,6,9,GB</v>
      </c>
    </row>
    <row r="9" spans="1:26" ht="15.75" x14ac:dyDescent="0.25">
      <c r="A9" s="4">
        <v>7</v>
      </c>
      <c r="B9" s="8" t="s">
        <v>75</v>
      </c>
      <c r="D9" s="6">
        <v>7</v>
      </c>
      <c r="E9" s="3" t="str">
        <f>VLOOKUP(7,Draft!$A$2:$B$12,2,FALSE)</f>
        <v>Chris M</v>
      </c>
      <c r="F9" s="3" t="s">
        <v>55</v>
      </c>
      <c r="G9" s="10">
        <f t="shared" si="1"/>
        <v>10</v>
      </c>
      <c r="H9" s="10">
        <f t="shared" si="1"/>
        <v>9.3000000000000007</v>
      </c>
      <c r="I9" s="10">
        <f t="shared" si="1"/>
        <v>9</v>
      </c>
      <c r="J9" s="10">
        <f t="shared" si="1"/>
        <v>12</v>
      </c>
      <c r="K9" s="10">
        <f t="shared" si="1"/>
        <v>10</v>
      </c>
      <c r="L9" s="10">
        <f t="shared" si="1"/>
        <v>9.6</v>
      </c>
      <c r="M9" s="10">
        <f t="shared" si="1"/>
        <v>9.0349000000000004</v>
      </c>
      <c r="N9" s="10">
        <f t="shared" si="1"/>
        <v>10.1</v>
      </c>
      <c r="O9" s="10">
        <f t="shared" si="1"/>
        <v>9.5</v>
      </c>
      <c r="P9" s="10">
        <f t="shared" si="1"/>
        <v>11.7</v>
      </c>
      <c r="Q9" s="10">
        <f t="shared" si="1"/>
        <v>10.023489999999999</v>
      </c>
      <c r="R9" s="10">
        <f t="shared" si="1"/>
        <v>0.98619978751772186</v>
      </c>
      <c r="S9" s="10">
        <f t="shared" si="1"/>
        <v>0.77674402774794027</v>
      </c>
      <c r="T9" s="10">
        <f t="shared" si="1"/>
        <v>3.6067048248050195</v>
      </c>
      <c r="U9" s="10">
        <f t="shared" si="1"/>
        <v>8</v>
      </c>
      <c r="V9" s="10">
        <f>IF(Table2[[#This Row],[Pick]]&gt;=Table2[[#This Row],[Rank]],1,-1)</f>
        <v>-1</v>
      </c>
      <c r="W9" s="10">
        <f>Table2[[#This Row],[Pick]]-Table2[[#This Row],[Rank]]</f>
        <v>-1</v>
      </c>
      <c r="X9" s="12">
        <v>2</v>
      </c>
      <c r="Y9" s="12" t="s">
        <v>110</v>
      </c>
      <c r="Z9" s="12" t="str">
        <f>"2024,"&amp;Table2[[#This Row],[Pick]]&amp;","&amp;Table2[[#This Row],[PlayerID]]&amp;","&amp;Table2[[#This Row],[T1]]</f>
        <v>2024,7,2,NYJ</v>
      </c>
    </row>
    <row r="10" spans="1:26" ht="15.75" x14ac:dyDescent="0.25">
      <c r="A10" s="4">
        <v>8</v>
      </c>
      <c r="B10" s="8" t="s">
        <v>4</v>
      </c>
      <c r="D10" s="6">
        <v>8</v>
      </c>
      <c r="E10" s="3" t="str">
        <f>VLOOKUP(8,Draft!$A$2:$B$12,2,FALSE)</f>
        <v>Matt M</v>
      </c>
      <c r="F10" s="3" t="s">
        <v>34</v>
      </c>
      <c r="G10" s="10">
        <f t="shared" si="1"/>
        <v>12</v>
      </c>
      <c r="H10" s="10">
        <f t="shared" si="1"/>
        <v>10.3</v>
      </c>
      <c r="I10" s="10">
        <f t="shared" si="1"/>
        <v>10</v>
      </c>
      <c r="J10" s="10">
        <f t="shared" si="1"/>
        <v>11</v>
      </c>
      <c r="K10" s="10">
        <f t="shared" si="1"/>
        <v>9</v>
      </c>
      <c r="L10" s="10">
        <f t="shared" si="1"/>
        <v>10.199999999999999</v>
      </c>
      <c r="M10" s="10">
        <f t="shared" si="1"/>
        <v>9.7890999999999995</v>
      </c>
      <c r="N10" s="10">
        <f t="shared" si="1"/>
        <v>11.2</v>
      </c>
      <c r="O10" s="10">
        <f t="shared" si="1"/>
        <v>10.5</v>
      </c>
      <c r="P10" s="10">
        <f t="shared" si="1"/>
        <v>9.8000000000000007</v>
      </c>
      <c r="Q10" s="10">
        <f t="shared" si="1"/>
        <v>10.378910000000001</v>
      </c>
      <c r="R10" s="10">
        <f t="shared" si="1"/>
        <v>0.80428545486039971</v>
      </c>
      <c r="S10" s="10">
        <f t="shared" si="1"/>
        <v>0.9570654944735062</v>
      </c>
      <c r="T10" s="10">
        <f t="shared" si="1"/>
        <v>4.1215701801028084</v>
      </c>
      <c r="U10" s="10">
        <f t="shared" si="1"/>
        <v>6</v>
      </c>
      <c r="V10" s="10">
        <f>IF(Table2[[#This Row],[Pick]]&gt;=Table2[[#This Row],[Rank]],1,-1)</f>
        <v>1</v>
      </c>
      <c r="W10" s="10">
        <f>Table2[[#This Row],[Pick]]-Table2[[#This Row],[Rank]]</f>
        <v>2</v>
      </c>
      <c r="X10" s="12">
        <v>4</v>
      </c>
      <c r="Y10" s="12" t="s">
        <v>97</v>
      </c>
      <c r="Z10" s="12" t="str">
        <f>"2024,"&amp;Table2[[#This Row],[Pick]]&amp;","&amp;Table2[[#This Row],[PlayerID]]&amp;","&amp;Table2[[#This Row],[T1]]</f>
        <v>2024,8,4,PHI</v>
      </c>
    </row>
    <row r="11" spans="1:26" ht="15.75" x14ac:dyDescent="0.25">
      <c r="A11" s="4">
        <v>9</v>
      </c>
      <c r="B11" s="8" t="s">
        <v>10</v>
      </c>
      <c r="D11" s="6">
        <v>9</v>
      </c>
      <c r="E11" s="3" t="str">
        <f>VLOOKUP(9,Draft!$A$2:$B$12,2,FALSE)</f>
        <v>Avallone</v>
      </c>
      <c r="F11" s="3" t="s">
        <v>24</v>
      </c>
      <c r="G11" s="10">
        <f t="shared" si="1"/>
        <v>9</v>
      </c>
      <c r="H11" s="10">
        <f t="shared" si="1"/>
        <v>9.4</v>
      </c>
      <c r="I11" s="10">
        <f t="shared" si="1"/>
        <v>10</v>
      </c>
      <c r="J11" s="10">
        <f t="shared" si="1"/>
        <v>7</v>
      </c>
      <c r="K11" s="10">
        <f t="shared" si="1"/>
        <v>9</v>
      </c>
      <c r="L11" s="10">
        <f t="shared" si="1"/>
        <v>9.6999999999999993</v>
      </c>
      <c r="M11" s="10">
        <f t="shared" si="1"/>
        <v>9.7230000000000008</v>
      </c>
      <c r="N11" s="10">
        <f t="shared" si="1"/>
        <v>10.1</v>
      </c>
      <c r="O11" s="10">
        <f t="shared" si="1"/>
        <v>10.5</v>
      </c>
      <c r="P11" s="10">
        <f t="shared" si="1"/>
        <v>10</v>
      </c>
      <c r="Q11" s="10">
        <f t="shared" si="1"/>
        <v>9.4422999999999995</v>
      </c>
      <c r="R11" s="10">
        <f t="shared" si="1"/>
        <v>0.93147389120683355</v>
      </c>
      <c r="S11" s="10">
        <f t="shared" si="1"/>
        <v>0.48187870433836594</v>
      </c>
      <c r="T11" s="10">
        <f t="shared" si="1"/>
        <v>4.5609690274168511</v>
      </c>
      <c r="U11" s="10">
        <f t="shared" si="1"/>
        <v>12</v>
      </c>
      <c r="V11" s="10">
        <f>IF(Table2[[#This Row],[Pick]]&gt;=Table2[[#This Row],[Rank]],1,-1)</f>
        <v>-1</v>
      </c>
      <c r="W11" s="10">
        <f>Table2[[#This Row],[Pick]]-Table2[[#This Row],[Rank]]</f>
        <v>-3</v>
      </c>
      <c r="X11" s="12">
        <v>5</v>
      </c>
      <c r="Y11" s="12" t="s">
        <v>83</v>
      </c>
      <c r="Z11" s="12" t="str">
        <f>"2024,"&amp;Table2[[#This Row],[Pick]]&amp;","&amp;Table2[[#This Row],[PlayerID]]&amp;","&amp;Table2[[#This Row],[T1]]</f>
        <v>2024,9,5,BUF</v>
      </c>
    </row>
    <row r="12" spans="1:26" ht="15.75" x14ac:dyDescent="0.25">
      <c r="A12" s="4">
        <v>10</v>
      </c>
      <c r="B12" s="8" t="s">
        <v>9</v>
      </c>
      <c r="D12" s="6">
        <v>10</v>
      </c>
      <c r="E12" s="3" t="str">
        <f>VLOOKUP(10,Draft!$A$2:$B$12,2,FALSE)</f>
        <v>Bailey</v>
      </c>
      <c r="F12" s="3" t="s">
        <v>31</v>
      </c>
      <c r="G12" s="10">
        <f t="shared" si="1"/>
        <v>11</v>
      </c>
      <c r="H12" s="10">
        <f t="shared" si="1"/>
        <v>9.8000000000000007</v>
      </c>
      <c r="I12" s="10">
        <f t="shared" si="1"/>
        <v>11</v>
      </c>
      <c r="J12" s="10">
        <f t="shared" si="1"/>
        <v>11</v>
      </c>
      <c r="K12" s="10">
        <f t="shared" si="1"/>
        <v>11</v>
      </c>
      <c r="L12" s="10">
        <f t="shared" si="1"/>
        <v>10.199999999999999</v>
      </c>
      <c r="M12" s="10">
        <f t="shared" si="1"/>
        <v>9.7653999999999996</v>
      </c>
      <c r="N12" s="10">
        <f t="shared" si="1"/>
        <v>10.4</v>
      </c>
      <c r="O12" s="10">
        <f t="shared" si="1"/>
        <v>10.5</v>
      </c>
      <c r="P12" s="10">
        <f t="shared" si="1"/>
        <v>10.3</v>
      </c>
      <c r="Q12" s="10">
        <f t="shared" si="1"/>
        <v>10.49654</v>
      </c>
      <c r="R12" s="10">
        <f t="shared" si="1"/>
        <v>0.46578079007189638</v>
      </c>
      <c r="S12" s="10">
        <f t="shared" si="1"/>
        <v>1.0167447869469963</v>
      </c>
      <c r="T12" s="10">
        <f t="shared" si="1"/>
        <v>4.7247391658107096</v>
      </c>
      <c r="U12" s="10">
        <f t="shared" si="1"/>
        <v>5</v>
      </c>
      <c r="V12" s="10">
        <f>IF(Table2[[#This Row],[Pick]]&gt;=Table2[[#This Row],[Rank]],1,-1)</f>
        <v>1</v>
      </c>
      <c r="W12" s="10">
        <f>Table2[[#This Row],[Pick]]-Table2[[#This Row],[Rank]]</f>
        <v>5</v>
      </c>
      <c r="X12" s="12">
        <v>10</v>
      </c>
      <c r="Y12" s="12" t="s">
        <v>85</v>
      </c>
      <c r="Z12" s="12" t="str">
        <f>"2024,"&amp;Table2[[#This Row],[Pick]]&amp;","&amp;Table2[[#This Row],[PlayerID]]&amp;","&amp;Table2[[#This Row],[T1]]</f>
        <v>2024,10,10,CIN</v>
      </c>
    </row>
    <row r="13" spans="1:26" x14ac:dyDescent="0.25">
      <c r="D13" s="6">
        <v>11</v>
      </c>
      <c r="E13" s="3" t="str">
        <f>VLOOKUP(7,Draft!$A$2:$B$12,2,FALSE)</f>
        <v>Chris M</v>
      </c>
      <c r="F13" s="3" t="s">
        <v>59</v>
      </c>
      <c r="G13" s="10">
        <f t="shared" ref="G13:U22" si="2">VLOOKUP($F13,$F$41:$U$72,G$1,FALSE)</f>
        <v>12</v>
      </c>
      <c r="H13" s="10">
        <f t="shared" si="2"/>
        <v>9.4</v>
      </c>
      <c r="I13" s="10">
        <f t="shared" si="2"/>
        <v>9</v>
      </c>
      <c r="J13" s="10">
        <f t="shared" si="2"/>
        <v>10</v>
      </c>
      <c r="K13" s="10">
        <f t="shared" si="2"/>
        <v>10</v>
      </c>
      <c r="L13" s="10">
        <f t="shared" si="2"/>
        <v>9</v>
      </c>
      <c r="M13" s="10">
        <f t="shared" si="2"/>
        <v>8.9095999999999993</v>
      </c>
      <c r="N13" s="10">
        <f t="shared" si="2"/>
        <v>10.4</v>
      </c>
      <c r="O13" s="10">
        <f t="shared" si="2"/>
        <v>9.5</v>
      </c>
      <c r="P13" s="10">
        <f t="shared" si="2"/>
        <v>8.6999999999999993</v>
      </c>
      <c r="Q13" s="10">
        <f t="shared" si="2"/>
        <v>9.6909600000000005</v>
      </c>
      <c r="R13" s="10">
        <f t="shared" si="2"/>
        <v>0.93241165501081136</v>
      </c>
      <c r="S13" s="10">
        <f t="shared" si="2"/>
        <v>0.60803574647437153</v>
      </c>
      <c r="T13" s="10">
        <f t="shared" si="2"/>
        <v>3.7262823966159617</v>
      </c>
      <c r="U13" s="10">
        <f t="shared" si="2"/>
        <v>11</v>
      </c>
      <c r="V13" s="10">
        <f>IF(Table2[[#This Row],[Pick]]&gt;=Table2[[#This Row],[Rank]],1,-1)</f>
        <v>1</v>
      </c>
      <c r="W13" s="10">
        <f>Table2[[#This Row],[Pick]]-Table2[[#This Row],[Rank]]</f>
        <v>0</v>
      </c>
      <c r="X13" s="12">
        <v>2</v>
      </c>
      <c r="Y13" s="12" t="s">
        <v>89</v>
      </c>
      <c r="Z13" s="12" t="str">
        <f>"2024,"&amp;Table2[[#This Row],[Pick]]&amp;","&amp;Table2[[#This Row],[PlayerID]]&amp;","&amp;Table2[[#This Row],[T1]]</f>
        <v>2024,11,2,HOU</v>
      </c>
    </row>
    <row r="14" spans="1:26" x14ac:dyDescent="0.25">
      <c r="D14" s="6">
        <v>12</v>
      </c>
      <c r="E14" s="3" t="str">
        <f>VLOOKUP(10,Draft!$A$2:$B$12,2,FALSE)</f>
        <v>Bailey</v>
      </c>
      <c r="F14" s="3" t="s">
        <v>57</v>
      </c>
      <c r="G14" s="10">
        <f t="shared" si="2"/>
        <v>9</v>
      </c>
      <c r="H14" s="10">
        <f t="shared" si="2"/>
        <v>9.1999999999999993</v>
      </c>
      <c r="I14" s="10">
        <f t="shared" si="2"/>
        <v>8</v>
      </c>
      <c r="J14" s="10">
        <f t="shared" si="2"/>
        <v>6</v>
      </c>
      <c r="K14" s="10">
        <f t="shared" si="2"/>
        <v>10</v>
      </c>
      <c r="L14" s="10">
        <f t="shared" si="2"/>
        <v>9.4</v>
      </c>
      <c r="M14" s="10">
        <f t="shared" si="2"/>
        <v>9.0563000000000002</v>
      </c>
      <c r="N14" s="10">
        <f t="shared" si="2"/>
        <v>10.1</v>
      </c>
      <c r="O14" s="10">
        <f t="shared" si="2"/>
        <v>9.5</v>
      </c>
      <c r="P14" s="10">
        <f t="shared" si="2"/>
        <v>9.5</v>
      </c>
      <c r="Q14" s="10">
        <f t="shared" si="2"/>
        <v>8.9756299999999989</v>
      </c>
      <c r="R14" s="10">
        <f t="shared" si="2"/>
        <v>1.136099939309922</v>
      </c>
      <c r="S14" s="10">
        <f t="shared" si="2"/>
        <v>0.24511482251736708</v>
      </c>
      <c r="T14" s="10">
        <f t="shared" si="2"/>
        <v>5.1294308671322657</v>
      </c>
      <c r="U14" s="10">
        <f t="shared" si="2"/>
        <v>14</v>
      </c>
      <c r="V14" s="10">
        <f>IF(Table2[[#This Row],[Pick]]&gt;=Table2[[#This Row],[Rank]],1,-1)</f>
        <v>-1</v>
      </c>
      <c r="W14" s="10">
        <f>Table2[[#This Row],[Pick]]-Table2[[#This Row],[Rank]]</f>
        <v>-2</v>
      </c>
      <c r="X14" s="12">
        <v>10</v>
      </c>
      <c r="Y14" s="12" t="s">
        <v>86</v>
      </c>
      <c r="Z14" s="12" t="str">
        <f>"2024,"&amp;Table2[[#This Row],[Pick]]&amp;","&amp;Table2[[#This Row],[PlayerID]]&amp;","&amp;Table2[[#This Row],[T1]]</f>
        <v>2024,12,10,ATL</v>
      </c>
    </row>
    <row r="15" spans="1:26" x14ac:dyDescent="0.25">
      <c r="D15" s="6">
        <v>13</v>
      </c>
      <c r="E15" s="3" t="str">
        <f>VLOOKUP(3,Draft!$A$2:$B$12,2,FALSE)</f>
        <v>Brad</v>
      </c>
      <c r="F15" s="3" t="s">
        <v>44</v>
      </c>
      <c r="G15" s="10">
        <f t="shared" si="2"/>
        <v>11</v>
      </c>
      <c r="H15" s="10">
        <f t="shared" si="2"/>
        <v>9.1999999999999993</v>
      </c>
      <c r="I15" s="10">
        <f t="shared" si="2"/>
        <v>9</v>
      </c>
      <c r="J15" s="10">
        <f t="shared" si="2"/>
        <v>9</v>
      </c>
      <c r="K15" s="10">
        <f t="shared" si="2"/>
        <v>11</v>
      </c>
      <c r="L15" s="10">
        <f t="shared" si="2"/>
        <v>9.5</v>
      </c>
      <c r="M15" s="10">
        <f t="shared" si="2"/>
        <v>9.141</v>
      </c>
      <c r="N15" s="10">
        <f t="shared" si="2"/>
        <v>10</v>
      </c>
      <c r="O15" s="10">
        <f t="shared" si="2"/>
        <v>9.5</v>
      </c>
      <c r="P15" s="10">
        <f t="shared" si="2"/>
        <v>9.8000000000000007</v>
      </c>
      <c r="Q15" s="10">
        <f t="shared" si="2"/>
        <v>9.7141000000000002</v>
      </c>
      <c r="R15" s="10">
        <f t="shared" si="2"/>
        <v>0.71417735192317611</v>
      </c>
      <c r="S15" s="10">
        <f t="shared" si="2"/>
        <v>0.61977576881422169</v>
      </c>
      <c r="T15" s="10">
        <f t="shared" si="2"/>
        <v>3.3454589536339787</v>
      </c>
      <c r="U15" s="10">
        <f t="shared" si="2"/>
        <v>9</v>
      </c>
      <c r="V15" s="10">
        <f>IF(Table2[[#This Row],[Pick]]&gt;=Table2[[#This Row],[Rank]],1,-1)</f>
        <v>1</v>
      </c>
      <c r="W15" s="10">
        <f>Table2[[#This Row],[Pick]]-Table2[[#This Row],[Rank]]</f>
        <v>4</v>
      </c>
      <c r="X15" s="12">
        <v>3</v>
      </c>
      <c r="Y15" s="12" t="s">
        <v>88</v>
      </c>
      <c r="Z15" s="12" t="str">
        <f>"2024,"&amp;Table2[[#This Row],[Pick]]&amp;","&amp;Table2[[#This Row],[PlayerID]]&amp;","&amp;Table2[[#This Row],[T1]]</f>
        <v>2024,13,3,MIA</v>
      </c>
    </row>
    <row r="16" spans="1:26" x14ac:dyDescent="0.25">
      <c r="D16" s="6">
        <v>14</v>
      </c>
      <c r="E16" s="3" t="str">
        <f>VLOOKUP(9,Draft!$A$2:$B$12,2,FALSE)</f>
        <v>Avallone</v>
      </c>
      <c r="F16" s="3" t="s">
        <v>29</v>
      </c>
      <c r="G16" s="10">
        <f t="shared" si="2"/>
        <v>9</v>
      </c>
      <c r="H16" s="10">
        <f t="shared" si="2"/>
        <v>8.6999999999999993</v>
      </c>
      <c r="I16" s="10">
        <f t="shared" si="2"/>
        <v>11</v>
      </c>
      <c r="J16" s="10">
        <f t="shared" si="2"/>
        <v>9</v>
      </c>
      <c r="K16" s="10">
        <f t="shared" si="2"/>
        <v>12</v>
      </c>
      <c r="L16" s="10">
        <f t="shared" si="2"/>
        <v>8.8000000000000007</v>
      </c>
      <c r="M16" s="10">
        <f t="shared" si="2"/>
        <v>8.5547000000000004</v>
      </c>
      <c r="N16" s="10">
        <f t="shared" si="2"/>
        <v>8.9</v>
      </c>
      <c r="O16" s="10">
        <f t="shared" si="2"/>
        <v>8.5</v>
      </c>
      <c r="P16" s="10">
        <f t="shared" si="2"/>
        <v>7.6</v>
      </c>
      <c r="Q16" s="10">
        <f t="shared" si="2"/>
        <v>9.20547</v>
      </c>
      <c r="R16" s="10">
        <f t="shared" si="2"/>
        <v>1.2298826318393139</v>
      </c>
      <c r="S16" s="10">
        <f t="shared" si="2"/>
        <v>0.36172358373565533</v>
      </c>
      <c r="T16" s="10">
        <f t="shared" si="2"/>
        <v>2.6161831682199819</v>
      </c>
      <c r="U16" s="10">
        <f t="shared" si="2"/>
        <v>13</v>
      </c>
      <c r="V16" s="10">
        <f>IF(Table2[[#This Row],[Pick]]&gt;=Table2[[#This Row],[Rank]],1,-1)</f>
        <v>1</v>
      </c>
      <c r="W16" s="10">
        <f>Table2[[#This Row],[Pick]]-Table2[[#This Row],[Rank]]</f>
        <v>1</v>
      </c>
      <c r="X16" s="12">
        <v>5</v>
      </c>
      <c r="Y16" s="12" t="s">
        <v>107</v>
      </c>
      <c r="Z16" s="12" t="str">
        <f>"2024,"&amp;Table2[[#This Row],[Pick]]&amp;","&amp;Table2[[#This Row],[PlayerID]]&amp;","&amp;Table2[[#This Row],[T1]]</f>
        <v>2024,14,5,LA</v>
      </c>
    </row>
    <row r="17" spans="4:26" x14ac:dyDescent="0.25">
      <c r="D17" s="6">
        <v>15</v>
      </c>
      <c r="E17" s="3" t="str">
        <f>VLOOKUP(5,Draft!$A$2:$B$12,2,FALSE)</f>
        <v>Fish</v>
      </c>
      <c r="F17" s="3" t="s">
        <v>33</v>
      </c>
      <c r="G17" s="10">
        <f t="shared" si="2"/>
        <v>9</v>
      </c>
      <c r="H17" s="10">
        <f t="shared" si="2"/>
        <v>8.8000000000000007</v>
      </c>
      <c r="I17" s="10">
        <f t="shared" si="2"/>
        <v>9</v>
      </c>
      <c r="J17" s="10">
        <f t="shared" si="2"/>
        <v>9</v>
      </c>
      <c r="K17" s="10">
        <f t="shared" si="2"/>
        <v>10</v>
      </c>
      <c r="L17" s="10">
        <f t="shared" si="2"/>
        <v>8.9</v>
      </c>
      <c r="M17" s="10">
        <f t="shared" si="2"/>
        <v>8.4461999999999993</v>
      </c>
      <c r="N17" s="10">
        <f t="shared" si="2"/>
        <v>8</v>
      </c>
      <c r="O17" s="10">
        <f t="shared" si="2"/>
        <v>8.5</v>
      </c>
      <c r="P17" s="10">
        <f t="shared" si="2"/>
        <v>7.9</v>
      </c>
      <c r="Q17" s="10">
        <f t="shared" si="2"/>
        <v>8.7546199999999992</v>
      </c>
      <c r="R17" s="10">
        <f t="shared" si="2"/>
        <v>0.56697275031521566</v>
      </c>
      <c r="S17" s="10">
        <f t="shared" si="2"/>
        <v>0.13298594017811485</v>
      </c>
      <c r="T17" s="10">
        <f t="shared" si="2"/>
        <v>4.414176022343077</v>
      </c>
      <c r="U17" s="10">
        <f t="shared" si="2"/>
        <v>16</v>
      </c>
      <c r="V17" s="10">
        <f>IF(Table2[[#This Row],[Pick]]&gt;=Table2[[#This Row],[Rank]],1,-1)</f>
        <v>-1</v>
      </c>
      <c r="W17" s="10">
        <f>Table2[[#This Row],[Pick]]-Table2[[#This Row],[Rank]]</f>
        <v>-1</v>
      </c>
      <c r="X17" s="12">
        <v>1</v>
      </c>
      <c r="Y17" s="12" t="s">
        <v>106</v>
      </c>
      <c r="Z17" s="12" t="str">
        <f>"2024,"&amp;Table2[[#This Row],[Pick]]&amp;","&amp;Table2[[#This Row],[PlayerID]]&amp;","&amp;Table2[[#This Row],[T1]]</f>
        <v>2024,15,1,LAC</v>
      </c>
    </row>
    <row r="18" spans="4:26" x14ac:dyDescent="0.25">
      <c r="D18" s="6">
        <v>16</v>
      </c>
      <c r="E18" s="3" t="str">
        <f>VLOOKUP(2,Draft!$A$2:$B$12,2,FALSE)</f>
        <v>Conley</v>
      </c>
      <c r="F18" s="3" t="s">
        <v>52</v>
      </c>
      <c r="G18" s="10">
        <f t="shared" si="2"/>
        <v>7</v>
      </c>
      <c r="H18" s="10">
        <f t="shared" si="2"/>
        <v>8.3000000000000007</v>
      </c>
      <c r="I18" s="10">
        <f t="shared" si="2"/>
        <v>7</v>
      </c>
      <c r="J18" s="10">
        <f t="shared" si="2"/>
        <v>10</v>
      </c>
      <c r="K18" s="10">
        <f t="shared" si="2"/>
        <v>8</v>
      </c>
      <c r="L18" s="10">
        <f t="shared" si="2"/>
        <v>8.1</v>
      </c>
      <c r="M18" s="10">
        <f t="shared" si="2"/>
        <v>8.2482000000000006</v>
      </c>
      <c r="N18" s="10">
        <f t="shared" si="2"/>
        <v>8.3000000000000007</v>
      </c>
      <c r="O18" s="10">
        <f t="shared" si="2"/>
        <v>8.5</v>
      </c>
      <c r="P18" s="10">
        <f t="shared" si="2"/>
        <v>8.5</v>
      </c>
      <c r="Q18" s="10">
        <f t="shared" si="2"/>
        <v>8.19482</v>
      </c>
      <c r="R18" s="10">
        <f t="shared" si="2"/>
        <v>0.79825152151436574</v>
      </c>
      <c r="S18" s="10">
        <f t="shared" si="2"/>
        <v>-0.15102721910659342</v>
      </c>
      <c r="T18" s="10">
        <f t="shared" si="2"/>
        <v>3.9484657334238942</v>
      </c>
      <c r="U18" s="10">
        <f t="shared" si="2"/>
        <v>19</v>
      </c>
      <c r="V18" s="10">
        <f>IF(Table2[[#This Row],[Pick]]&gt;=Table2[[#This Row],[Rank]],1,-1)</f>
        <v>-1</v>
      </c>
      <c r="W18" s="10">
        <f>Table2[[#This Row],[Pick]]-Table2[[#This Row],[Rank]]</f>
        <v>-3</v>
      </c>
      <c r="X18" s="12">
        <v>8</v>
      </c>
      <c r="Y18" s="12" t="s">
        <v>103</v>
      </c>
      <c r="Z18" s="12" t="str">
        <f>"2024,"&amp;Table2[[#This Row],[Pick]]&amp;","&amp;Table2[[#This Row],[PlayerID]]&amp;","&amp;Table2[[#This Row],[T1]]</f>
        <v>2024,16,8,JAX</v>
      </c>
    </row>
    <row r="19" spans="4:26" x14ac:dyDescent="0.25">
      <c r="D19" s="6">
        <v>17</v>
      </c>
      <c r="E19" s="3" t="str">
        <f>VLOOKUP(8,Draft!$A$2:$B$12,2,FALSE)</f>
        <v>Matt M</v>
      </c>
      <c r="F19" s="3" t="s">
        <v>32</v>
      </c>
      <c r="G19" s="10">
        <f t="shared" si="2"/>
        <v>9</v>
      </c>
      <c r="H19" s="10">
        <f t="shared" si="2"/>
        <v>8.1999999999999993</v>
      </c>
      <c r="I19" s="10">
        <f t="shared" si="2"/>
        <v>9</v>
      </c>
      <c r="J19" s="10">
        <f t="shared" si="2"/>
        <v>7</v>
      </c>
      <c r="K19" s="10">
        <f t="shared" si="2"/>
        <v>7</v>
      </c>
      <c r="L19" s="10">
        <f t="shared" si="2"/>
        <v>7.5</v>
      </c>
      <c r="M19" s="10">
        <f t="shared" si="2"/>
        <v>8.0189000000000004</v>
      </c>
      <c r="N19" s="10">
        <f t="shared" si="2"/>
        <v>8.1</v>
      </c>
      <c r="O19" s="10">
        <f t="shared" si="2"/>
        <v>8.5</v>
      </c>
      <c r="P19" s="10">
        <f t="shared" si="2"/>
        <v>8.1</v>
      </c>
      <c r="Q19" s="10">
        <f t="shared" si="2"/>
        <v>8.0418900000000004</v>
      </c>
      <c r="R19" s="10">
        <f t="shared" si="2"/>
        <v>0.67400367128080252</v>
      </c>
      <c r="S19" s="10">
        <f t="shared" si="2"/>
        <v>-0.22861588014519715</v>
      </c>
      <c r="T19" s="10">
        <f t="shared" si="2"/>
        <v>4.3296332526732497</v>
      </c>
      <c r="U19" s="10">
        <f t="shared" si="2"/>
        <v>21</v>
      </c>
      <c r="V19" s="10">
        <f>IF(Table2[[#This Row],[Pick]]&gt;=Table2[[#This Row],[Rank]],1,-1)</f>
        <v>-1</v>
      </c>
      <c r="W19" s="10">
        <f>Table2[[#This Row],[Pick]]-Table2[[#This Row],[Rank]]</f>
        <v>-4</v>
      </c>
      <c r="X19" s="12">
        <v>4</v>
      </c>
      <c r="Y19" s="12" t="s">
        <v>98</v>
      </c>
      <c r="Z19" s="12" t="str">
        <f>"2024,"&amp;Table2[[#This Row],[Pick]]&amp;","&amp;Table2[[#This Row],[PlayerID]]&amp;","&amp;Table2[[#This Row],[T1]]</f>
        <v>2024,17,4,IND</v>
      </c>
    </row>
    <row r="20" spans="4:26" x14ac:dyDescent="0.25">
      <c r="D20" s="6">
        <v>18</v>
      </c>
      <c r="E20" s="3" t="str">
        <f>VLOOKUP(4,Draft!$A$2:$B$12,2,FALSE)</f>
        <v>Flaim</v>
      </c>
      <c r="F20" s="3" t="s">
        <v>49</v>
      </c>
      <c r="G20" s="10">
        <f t="shared" si="2"/>
        <v>8</v>
      </c>
      <c r="H20" s="10">
        <f t="shared" si="2"/>
        <v>8.6</v>
      </c>
      <c r="I20" s="10">
        <f t="shared" si="2"/>
        <v>9</v>
      </c>
      <c r="J20" s="10">
        <f t="shared" si="2"/>
        <v>6</v>
      </c>
      <c r="K20" s="10">
        <f t="shared" si="2"/>
        <v>9</v>
      </c>
      <c r="L20" s="10">
        <f t="shared" si="2"/>
        <v>8.6999999999999993</v>
      </c>
      <c r="M20" s="10">
        <f t="shared" si="2"/>
        <v>8.1077999999999992</v>
      </c>
      <c r="N20" s="10">
        <f t="shared" si="2"/>
        <v>8.6999999999999993</v>
      </c>
      <c r="O20" s="10">
        <f t="shared" si="2"/>
        <v>8.5</v>
      </c>
      <c r="P20" s="10">
        <f t="shared" si="2"/>
        <v>10.199999999999999</v>
      </c>
      <c r="Q20" s="10">
        <f t="shared" si="2"/>
        <v>8.4807799999999993</v>
      </c>
      <c r="R20" s="10">
        <f t="shared" si="2"/>
        <v>1.0064853081888445</v>
      </c>
      <c r="S20" s="10">
        <f t="shared" si="2"/>
        <v>-5.9461133026364587E-3</v>
      </c>
      <c r="T20" s="10">
        <f t="shared" si="2"/>
        <v>5.5641998039760523</v>
      </c>
      <c r="U20" s="10">
        <f t="shared" si="2"/>
        <v>18</v>
      </c>
      <c r="V20" s="10">
        <f>IF(Table2[[#This Row],[Pick]]&gt;=Table2[[#This Row],[Rank]],1,-1)</f>
        <v>1</v>
      </c>
      <c r="W20" s="10">
        <f>Table2[[#This Row],[Pick]]-Table2[[#This Row],[Rank]]</f>
        <v>0</v>
      </c>
      <c r="X20" s="12">
        <v>7</v>
      </c>
      <c r="Y20" s="12" t="s">
        <v>96</v>
      </c>
      <c r="Z20" s="12" t="str">
        <f>"2024,"&amp;Table2[[#This Row],[Pick]]&amp;","&amp;Table2[[#This Row],[PlayerID]]&amp;","&amp;Table2[[#This Row],[T1]]</f>
        <v>2024,18,7,CLE</v>
      </c>
    </row>
    <row r="21" spans="4:26" ht="15.75" customHeight="1" x14ac:dyDescent="0.25">
      <c r="D21" s="6">
        <v>19</v>
      </c>
      <c r="E21" s="3" t="str">
        <f>VLOOKUP(6,Draft!$A$2:$B$12,2,FALSE)</f>
        <v>Rubino</v>
      </c>
      <c r="F21" s="3" t="s">
        <v>26</v>
      </c>
      <c r="G21" s="10">
        <f t="shared" si="2"/>
        <v>8</v>
      </c>
      <c r="H21" s="10">
        <f t="shared" si="2"/>
        <v>8.1</v>
      </c>
      <c r="I21" s="10">
        <f t="shared" si="2"/>
        <v>9</v>
      </c>
      <c r="J21" s="10">
        <f t="shared" si="2"/>
        <v>10</v>
      </c>
      <c r="K21" s="10">
        <f t="shared" si="2"/>
        <v>8</v>
      </c>
      <c r="L21" s="10">
        <f t="shared" si="2"/>
        <v>7.5</v>
      </c>
      <c r="M21" s="10">
        <f t="shared" si="2"/>
        <v>8.1046999999999993</v>
      </c>
      <c r="N21" s="10">
        <f t="shared" si="2"/>
        <v>8</v>
      </c>
      <c r="O21" s="10">
        <f t="shared" si="2"/>
        <v>7.5</v>
      </c>
      <c r="P21" s="10">
        <f t="shared" si="2"/>
        <v>7.7</v>
      </c>
      <c r="Q21" s="10">
        <f t="shared" si="2"/>
        <v>8.1904700000000012</v>
      </c>
      <c r="R21" s="10">
        <f t="shared" si="2"/>
        <v>0.72444281216670237</v>
      </c>
      <c r="S21" s="10">
        <f t="shared" si="2"/>
        <v>-0.15323418095526817</v>
      </c>
      <c r="T21" s="10">
        <f t="shared" si="2"/>
        <v>2.8208297355078047</v>
      </c>
      <c r="U21" s="10">
        <f t="shared" si="2"/>
        <v>20</v>
      </c>
      <c r="V21" s="10">
        <f>IF(Table2[[#This Row],[Pick]]&gt;=Table2[[#This Row],[Rank]],1,-1)</f>
        <v>-1</v>
      </c>
      <c r="W21" s="10">
        <f>Table2[[#This Row],[Pick]]-Table2[[#This Row],[Rank]]</f>
        <v>-1</v>
      </c>
      <c r="X21" s="12">
        <v>9</v>
      </c>
      <c r="Y21" s="12" t="s">
        <v>112</v>
      </c>
      <c r="Z21" s="12" t="str">
        <f>"2024,"&amp;Table2[[#This Row],[Pick]]&amp;","&amp;Table2[[#This Row],[PlayerID]]&amp;","&amp;Table2[[#This Row],[T1]]</f>
        <v>2024,19,9,TB</v>
      </c>
    </row>
    <row r="22" spans="4:26" ht="15.75" customHeight="1" x14ac:dyDescent="0.25">
      <c r="D22" s="6">
        <v>20</v>
      </c>
      <c r="E22" s="3" t="str">
        <f>VLOOKUP(1,Draft!$A$2:$B$12,2,FALSE)</f>
        <v>Otto</v>
      </c>
      <c r="F22" s="3" t="s">
        <v>43</v>
      </c>
      <c r="G22" s="10">
        <f t="shared" si="2"/>
        <v>8</v>
      </c>
      <c r="H22" s="10">
        <f t="shared" si="2"/>
        <v>7.2</v>
      </c>
      <c r="I22" s="10">
        <f t="shared" si="2"/>
        <v>6</v>
      </c>
      <c r="J22" s="10">
        <f t="shared" si="2"/>
        <v>7</v>
      </c>
      <c r="K22" s="10">
        <f t="shared" si="2"/>
        <v>6</v>
      </c>
      <c r="L22" s="10">
        <f t="shared" si="2"/>
        <v>7.3</v>
      </c>
      <c r="M22" s="10">
        <f t="shared" si="2"/>
        <v>7.4428999999999998</v>
      </c>
      <c r="N22" s="10">
        <f t="shared" si="2"/>
        <v>5.7</v>
      </c>
      <c r="O22" s="10">
        <f t="shared" si="2"/>
        <v>6.5</v>
      </c>
      <c r="P22" s="10">
        <f t="shared" si="2"/>
        <v>6.1</v>
      </c>
      <c r="Q22" s="10">
        <f t="shared" si="2"/>
        <v>6.7242900000000008</v>
      </c>
      <c r="R22" s="10">
        <f t="shared" si="2"/>
        <v>0.72910907064717712</v>
      </c>
      <c r="S22" s="10">
        <f t="shared" si="2"/>
        <v>-0.89709701389570107</v>
      </c>
      <c r="T22" s="10">
        <f t="shared" si="2"/>
        <v>3.8327129743878143</v>
      </c>
      <c r="U22" s="10">
        <f t="shared" si="2"/>
        <v>26</v>
      </c>
      <c r="V22" s="10">
        <f>IF(Table2[[#This Row],[Pick]]&gt;=Table2[[#This Row],[Rank]],1,-1)</f>
        <v>-1</v>
      </c>
      <c r="W22" s="10">
        <f>Table2[[#This Row],[Pick]]-Table2[[#This Row],[Rank]]</f>
        <v>-6</v>
      </c>
      <c r="X22" s="12">
        <v>6</v>
      </c>
      <c r="Y22" s="12" t="s">
        <v>105</v>
      </c>
      <c r="Z22" s="12" t="str">
        <f>"2024,"&amp;Table2[[#This Row],[Pick]]&amp;","&amp;Table2[[#This Row],[PlayerID]]&amp;","&amp;Table2[[#This Row],[T1]]</f>
        <v>2024,20,6,LV</v>
      </c>
    </row>
    <row r="23" spans="4:26" ht="15.75" customHeight="1" x14ac:dyDescent="0.25">
      <c r="D23" s="6">
        <v>21</v>
      </c>
      <c r="E23" s="3" t="str">
        <f>VLOOKUP(8,Draft!$A$2:$B$12,2,FALSE)</f>
        <v>Matt M</v>
      </c>
      <c r="F23" s="3" t="s">
        <v>48</v>
      </c>
      <c r="G23" s="10">
        <f t="shared" ref="G23:U32" si="3">VLOOKUP($F23,$F$41:$U$72,G$1,FALSE)</f>
        <v>10</v>
      </c>
      <c r="H23" s="10">
        <f t="shared" si="3"/>
        <v>8</v>
      </c>
      <c r="I23" s="10">
        <f t="shared" si="3"/>
        <v>10</v>
      </c>
      <c r="J23" s="10">
        <f t="shared" si="3"/>
        <v>8</v>
      </c>
      <c r="K23" s="10">
        <f t="shared" si="3"/>
        <v>8</v>
      </c>
      <c r="L23" s="10">
        <f t="shared" si="3"/>
        <v>7.6</v>
      </c>
      <c r="M23" s="10">
        <f t="shared" si="3"/>
        <v>8.0216999999999992</v>
      </c>
      <c r="N23" s="10">
        <f t="shared" si="3"/>
        <v>8.6</v>
      </c>
      <c r="O23" s="10">
        <f t="shared" si="3"/>
        <v>8.5</v>
      </c>
      <c r="P23" s="10">
        <f t="shared" si="3"/>
        <v>8.1</v>
      </c>
      <c r="Q23" s="10">
        <f t="shared" si="3"/>
        <v>8.48217</v>
      </c>
      <c r="R23" s="10">
        <f t="shared" si="3"/>
        <v>0.8034669751147212</v>
      </c>
      <c r="S23" s="10">
        <f t="shared" si="3"/>
        <v>-5.2409002061628339E-3</v>
      </c>
      <c r="T23" s="10">
        <f t="shared" si="3"/>
        <v>3.1822515164979466</v>
      </c>
      <c r="U23" s="10">
        <f t="shared" si="3"/>
        <v>17</v>
      </c>
      <c r="V23" s="10">
        <f>IF(Table2[[#This Row],[Pick]]&gt;=Table2[[#This Row],[Rank]],1,-1)</f>
        <v>1</v>
      </c>
      <c r="W23" s="10">
        <f>Table2[[#This Row],[Pick]]-Table2[[#This Row],[Rank]]</f>
        <v>4</v>
      </c>
      <c r="X23" s="12">
        <v>4</v>
      </c>
      <c r="Y23" s="12" t="s">
        <v>99</v>
      </c>
      <c r="Z23" s="12" t="str">
        <f>"2024,"&amp;Table2[[#This Row],[Pick]]&amp;","&amp;Table2[[#This Row],[PlayerID]]&amp;","&amp;Table2[[#This Row],[T1]]</f>
        <v>2024,21,4,PIT</v>
      </c>
    </row>
    <row r="24" spans="4:26" ht="15.75" customHeight="1" x14ac:dyDescent="0.25">
      <c r="D24" s="6">
        <v>22</v>
      </c>
      <c r="E24" s="3" t="str">
        <f>VLOOKUP(6,Draft!$A$2:$B$12,2,FALSE)</f>
        <v>Rubino</v>
      </c>
      <c r="F24" s="3" t="s">
        <v>58</v>
      </c>
      <c r="G24" s="10">
        <f t="shared" si="3"/>
        <v>10</v>
      </c>
      <c r="H24" s="10">
        <f t="shared" si="3"/>
        <v>8.8000000000000007</v>
      </c>
      <c r="I24" s="10">
        <f t="shared" si="3"/>
        <v>9</v>
      </c>
      <c r="J24" s="10">
        <f t="shared" si="3"/>
        <v>10</v>
      </c>
      <c r="K24" s="10">
        <f t="shared" si="3"/>
        <v>8</v>
      </c>
      <c r="L24" s="10">
        <f t="shared" si="3"/>
        <v>8.1</v>
      </c>
      <c r="M24" s="10">
        <f t="shared" si="3"/>
        <v>8.6811000000000007</v>
      </c>
      <c r="N24" s="10">
        <f t="shared" si="3"/>
        <v>8.6</v>
      </c>
      <c r="O24" s="10">
        <f t="shared" si="3"/>
        <v>8.5</v>
      </c>
      <c r="P24" s="10">
        <f t="shared" si="3"/>
        <v>8.6</v>
      </c>
      <c r="Q24" s="10">
        <f t="shared" si="3"/>
        <v>8.8281099999999988</v>
      </c>
      <c r="R24" s="10">
        <f t="shared" si="3"/>
        <v>0.65009503066859398</v>
      </c>
      <c r="S24" s="10">
        <f t="shared" si="3"/>
        <v>0.17027091173194325</v>
      </c>
      <c r="T24" s="10">
        <f t="shared" si="3"/>
        <v>3.3589132206308747</v>
      </c>
      <c r="U24" s="10">
        <f t="shared" si="3"/>
        <v>15</v>
      </c>
      <c r="V24" s="10">
        <f>IF(Table2[[#This Row],[Pick]]&gt;=Table2[[#This Row],[Rank]],1,-1)</f>
        <v>1</v>
      </c>
      <c r="W24" s="10">
        <f>Table2[[#This Row],[Pick]]-Table2[[#This Row],[Rank]]</f>
        <v>7</v>
      </c>
      <c r="X24" s="12">
        <v>9</v>
      </c>
      <c r="Y24" s="12" t="s">
        <v>101</v>
      </c>
      <c r="Z24" s="12" t="str">
        <f>"2024,"&amp;Table2[[#This Row],[Pick]]&amp;","&amp;Table2[[#This Row],[PlayerID]]&amp;","&amp;Table2[[#This Row],[T1]]</f>
        <v>2024,22,9,CHI</v>
      </c>
    </row>
    <row r="25" spans="4:26" ht="15.75" customHeight="1" x14ac:dyDescent="0.25">
      <c r="D25" s="6">
        <v>23</v>
      </c>
      <c r="E25" s="3" t="str">
        <f>VLOOKUP(9,Draft!$A$2:$B$12,2,FALSE)</f>
        <v>Avallone</v>
      </c>
      <c r="F25" s="3" t="s">
        <v>47</v>
      </c>
      <c r="G25" s="10">
        <f t="shared" si="3"/>
        <v>6</v>
      </c>
      <c r="H25" s="10">
        <f t="shared" si="3"/>
        <v>7.6</v>
      </c>
      <c r="I25" s="10">
        <f t="shared" si="3"/>
        <v>9</v>
      </c>
      <c r="J25" s="10">
        <f t="shared" si="3"/>
        <v>7</v>
      </c>
      <c r="K25" s="10">
        <f t="shared" si="3"/>
        <v>6</v>
      </c>
      <c r="L25" s="10">
        <f t="shared" si="3"/>
        <v>7.1</v>
      </c>
      <c r="M25" s="10">
        <f t="shared" si="3"/>
        <v>7.1859000000000002</v>
      </c>
      <c r="N25" s="10">
        <f t="shared" si="3"/>
        <v>6.9</v>
      </c>
      <c r="O25" s="10">
        <f t="shared" si="3"/>
        <v>7.5</v>
      </c>
      <c r="P25" s="10">
        <f t="shared" si="3"/>
        <v>5.6</v>
      </c>
      <c r="Q25" s="10">
        <f t="shared" si="3"/>
        <v>6.9885899999999994</v>
      </c>
      <c r="R25" s="10">
        <f t="shared" si="3"/>
        <v>0.92861493252047844</v>
      </c>
      <c r="S25" s="10">
        <f t="shared" si="3"/>
        <v>-0.76300505605549362</v>
      </c>
      <c r="T25" s="10">
        <f t="shared" si="3"/>
        <v>3.7886180250504773</v>
      </c>
      <c r="U25" s="10">
        <f t="shared" si="3"/>
        <v>24</v>
      </c>
      <c r="V25" s="10">
        <f>IF(Table2[[#This Row],[Pick]]&gt;=Table2[[#This Row],[Rank]],1,-1)</f>
        <v>-1</v>
      </c>
      <c r="W25" s="10">
        <f>Table2[[#This Row],[Pick]]-Table2[[#This Row],[Rank]]</f>
        <v>-1</v>
      </c>
      <c r="X25" s="12">
        <v>5</v>
      </c>
      <c r="Y25" s="12" t="s">
        <v>84</v>
      </c>
      <c r="Z25" s="12" t="str">
        <f>"2024,"&amp;Table2[[#This Row],[Pick]]&amp;","&amp;Table2[[#This Row],[PlayerID]]&amp;","&amp;Table2[[#This Row],[T1]]</f>
        <v>2024,23,5,ARI</v>
      </c>
    </row>
    <row r="26" spans="4:26" ht="15.75" customHeight="1" x14ac:dyDescent="0.25">
      <c r="D26" s="6">
        <v>24</v>
      </c>
      <c r="E26" s="3" t="str">
        <f>VLOOKUP(10,Draft!$A$2:$B$12,2,FALSE)</f>
        <v>Bailey</v>
      </c>
      <c r="F26" s="3" t="s">
        <v>56</v>
      </c>
      <c r="G26" s="10">
        <f t="shared" si="3"/>
        <v>7</v>
      </c>
      <c r="H26" s="10">
        <f t="shared" si="3"/>
        <v>8.3000000000000007</v>
      </c>
      <c r="I26" s="10">
        <f t="shared" si="3"/>
        <v>6</v>
      </c>
      <c r="J26" s="10">
        <f t="shared" si="3"/>
        <v>9</v>
      </c>
      <c r="K26" s="10">
        <f t="shared" si="3"/>
        <v>7</v>
      </c>
      <c r="L26" s="10">
        <f t="shared" si="3"/>
        <v>8.1999999999999993</v>
      </c>
      <c r="M26" s="10">
        <f t="shared" si="3"/>
        <v>7.8890000000000002</v>
      </c>
      <c r="N26" s="10">
        <f t="shared" si="3"/>
        <v>8.5</v>
      </c>
      <c r="O26" s="10">
        <f t="shared" si="3"/>
        <v>7.5</v>
      </c>
      <c r="P26" s="10">
        <f t="shared" si="3"/>
        <v>8.5</v>
      </c>
      <c r="Q26" s="10">
        <f t="shared" si="3"/>
        <v>7.7889000000000008</v>
      </c>
      <c r="R26" s="10">
        <f t="shared" si="3"/>
        <v>0.86294199689201856</v>
      </c>
      <c r="S26" s="10">
        <f t="shared" si="3"/>
        <v>-0.35696973717884906</v>
      </c>
      <c r="T26" s="10">
        <f t="shared" si="3"/>
        <v>4.1803564309076373</v>
      </c>
      <c r="U26" s="10">
        <f t="shared" si="3"/>
        <v>22</v>
      </c>
      <c r="V26" s="10">
        <f>IF(Table2[[#This Row],[Pick]]&gt;=Table2[[#This Row],[Rank]],1,-1)</f>
        <v>1</v>
      </c>
      <c r="W26" s="10">
        <f>Table2[[#This Row],[Pick]]-Table2[[#This Row],[Rank]]</f>
        <v>2</v>
      </c>
      <c r="X26" s="12">
        <v>10</v>
      </c>
      <c r="Y26" s="12" t="s">
        <v>87</v>
      </c>
      <c r="Z26" s="12" t="str">
        <f>"2024,"&amp;Table2[[#This Row],[Pick]]&amp;","&amp;Table2[[#This Row],[PlayerID]]&amp;","&amp;Table2[[#This Row],[T1]]</f>
        <v>2024,24,10,SEA</v>
      </c>
    </row>
    <row r="27" spans="4:26" ht="15.75" customHeight="1" x14ac:dyDescent="0.25">
      <c r="D27" s="6">
        <v>25</v>
      </c>
      <c r="E27" s="3" t="str">
        <f>VLOOKUP(4,Draft!$A$2:$B$12,2,FALSE)</f>
        <v>Flaim</v>
      </c>
      <c r="F27" s="3" t="s">
        <v>46</v>
      </c>
      <c r="G27" s="10">
        <f t="shared" si="3"/>
        <v>7</v>
      </c>
      <c r="H27" s="10">
        <f t="shared" si="3"/>
        <v>7.7</v>
      </c>
      <c r="I27" s="10">
        <f t="shared" si="3"/>
        <v>8</v>
      </c>
      <c r="J27" s="10">
        <f t="shared" si="3"/>
        <v>7</v>
      </c>
      <c r="K27" s="10">
        <f t="shared" si="3"/>
        <v>6</v>
      </c>
      <c r="L27" s="10">
        <f t="shared" si="3"/>
        <v>8.1999999999999993</v>
      </c>
      <c r="M27" s="10">
        <f t="shared" si="3"/>
        <v>8.1506000000000007</v>
      </c>
      <c r="N27" s="10">
        <f t="shared" si="3"/>
        <v>7.4</v>
      </c>
      <c r="O27" s="10">
        <f t="shared" si="3"/>
        <v>7.5</v>
      </c>
      <c r="P27" s="10">
        <f t="shared" si="3"/>
        <v>9.1999999999999993</v>
      </c>
      <c r="Q27" s="10">
        <f t="shared" si="3"/>
        <v>7.6150600000000015</v>
      </c>
      <c r="R27" s="10">
        <f t="shared" si="3"/>
        <v>0.81981048566115877</v>
      </c>
      <c r="S27" s="10">
        <f t="shared" si="3"/>
        <v>-0.44516703551763714</v>
      </c>
      <c r="T27" s="10">
        <f t="shared" si="3"/>
        <v>3.9564668915435224</v>
      </c>
      <c r="U27" s="10">
        <f t="shared" si="3"/>
        <v>23</v>
      </c>
      <c r="V27" s="10">
        <f>IF(Table2[[#This Row],[Pick]]&gt;=Table2[[#This Row],[Rank]],1,-1)</f>
        <v>1</v>
      </c>
      <c r="W27" s="10">
        <f>Table2[[#This Row],[Pick]]-Table2[[#This Row],[Rank]]</f>
        <v>2</v>
      </c>
      <c r="X27" s="12">
        <v>7</v>
      </c>
      <c r="Y27" s="12" t="s">
        <v>108</v>
      </c>
      <c r="Z27" s="12" t="str">
        <f>"2024,"&amp;Table2[[#This Row],[Pick]]&amp;","&amp;Table2[[#This Row],[PlayerID]]&amp;","&amp;Table2[[#This Row],[T1]]</f>
        <v>2024,25,7,NO</v>
      </c>
    </row>
    <row r="28" spans="4:26" ht="15.75" customHeight="1" x14ac:dyDescent="0.25">
      <c r="D28" s="6">
        <v>26</v>
      </c>
      <c r="E28" s="3" t="str">
        <f>VLOOKUP(1,Draft!$A$2:$B$12,2,FALSE)</f>
        <v>Otto</v>
      </c>
      <c r="F28" s="3" t="s">
        <v>42</v>
      </c>
      <c r="G28" s="10">
        <f t="shared" si="3"/>
        <v>5</v>
      </c>
      <c r="H28" s="10">
        <f t="shared" si="3"/>
        <v>6.8</v>
      </c>
      <c r="I28" s="10">
        <f t="shared" si="3"/>
        <v>6</v>
      </c>
      <c r="J28" s="10">
        <f t="shared" si="3"/>
        <v>5</v>
      </c>
      <c r="K28" s="10">
        <f t="shared" si="3"/>
        <v>6</v>
      </c>
      <c r="L28" s="10">
        <f t="shared" si="3"/>
        <v>6.8</v>
      </c>
      <c r="M28" s="10">
        <f t="shared" si="3"/>
        <v>7.1441999999999997</v>
      </c>
      <c r="N28" s="10">
        <f t="shared" si="3"/>
        <v>6.2</v>
      </c>
      <c r="O28" s="10">
        <f t="shared" si="3"/>
        <v>6.5</v>
      </c>
      <c r="P28" s="10">
        <f t="shared" si="3"/>
        <v>6.3</v>
      </c>
      <c r="Q28" s="10">
        <f t="shared" si="3"/>
        <v>6.1744199999999996</v>
      </c>
      <c r="R28" s="10">
        <f t="shared" si="3"/>
        <v>0.68300587669507473</v>
      </c>
      <c r="S28" s="10">
        <f t="shared" si="3"/>
        <v>-1.1760722119948135</v>
      </c>
      <c r="T28" s="10">
        <f t="shared" si="3"/>
        <v>3.9869441527500302</v>
      </c>
      <c r="U28" s="10">
        <f t="shared" si="3"/>
        <v>28</v>
      </c>
      <c r="V28" s="10">
        <f>IF(Table2[[#This Row],[Pick]]&gt;=Table2[[#This Row],[Rank]],1,-1)</f>
        <v>-1</v>
      </c>
      <c r="W28" s="10">
        <f>Table2[[#This Row],[Pick]]-Table2[[#This Row],[Rank]]</f>
        <v>-2</v>
      </c>
      <c r="X28" s="12">
        <v>6</v>
      </c>
      <c r="Y28" s="12" t="s">
        <v>100</v>
      </c>
      <c r="Z28" s="12" t="str">
        <f>"2024,"&amp;Table2[[#This Row],[Pick]]&amp;","&amp;Table2[[#This Row],[PlayerID]]&amp;","&amp;Table2[[#This Row],[T1]]</f>
        <v>2024,26,6,TEN</v>
      </c>
    </row>
    <row r="29" spans="4:26" ht="15.75" customHeight="1" x14ac:dyDescent="0.25">
      <c r="D29" s="6">
        <v>27</v>
      </c>
      <c r="E29" s="3" t="str">
        <f>VLOOKUP(5,Draft!$A$2:$B$12,2,FALSE)</f>
        <v>Fish</v>
      </c>
      <c r="F29" s="3" t="s">
        <v>41</v>
      </c>
      <c r="G29" s="10">
        <f t="shared" si="3"/>
        <v>8</v>
      </c>
      <c r="H29" s="10">
        <f t="shared" si="3"/>
        <v>7.5</v>
      </c>
      <c r="I29" s="10">
        <f t="shared" si="3"/>
        <v>7</v>
      </c>
      <c r="J29" s="10">
        <f t="shared" si="3"/>
        <v>4</v>
      </c>
      <c r="K29" s="10">
        <f t="shared" si="3"/>
        <v>6</v>
      </c>
      <c r="L29" s="10">
        <f t="shared" si="3"/>
        <v>6.8</v>
      </c>
      <c r="M29" s="10">
        <f t="shared" si="3"/>
        <v>7.6951000000000001</v>
      </c>
      <c r="N29" s="10">
        <f t="shared" si="3"/>
        <v>7</v>
      </c>
      <c r="O29" s="10">
        <f t="shared" si="3"/>
        <v>7.5</v>
      </c>
      <c r="P29" s="10">
        <f t="shared" si="3"/>
        <v>6.8</v>
      </c>
      <c r="Q29" s="10">
        <f t="shared" si="3"/>
        <v>6.8295099999999991</v>
      </c>
      <c r="R29" s="10">
        <f t="shared" si="3"/>
        <v>1.0850113183280707</v>
      </c>
      <c r="S29" s="10">
        <f t="shared" si="3"/>
        <v>-0.84371390453532846</v>
      </c>
      <c r="T29" s="10">
        <f t="shared" si="3"/>
        <v>4.7073227605413939</v>
      </c>
      <c r="U29" s="10">
        <f t="shared" si="3"/>
        <v>25</v>
      </c>
      <c r="V29" s="10">
        <f>IF(Table2[[#This Row],[Pick]]&gt;=Table2[[#This Row],[Rank]],1,-1)</f>
        <v>1</v>
      </c>
      <c r="W29" s="10">
        <f>Table2[[#This Row],[Pick]]-Table2[[#This Row],[Rank]]</f>
        <v>2</v>
      </c>
      <c r="X29" s="12">
        <v>1</v>
      </c>
      <c r="Y29" s="12" t="s">
        <v>94</v>
      </c>
      <c r="Z29" s="12" t="str">
        <f>"2024,"&amp;Table2[[#This Row],[Pick]]&amp;","&amp;Table2[[#This Row],[PlayerID]]&amp;","&amp;Table2[[#This Row],[T1]]</f>
        <v>2024,27,1,MIN</v>
      </c>
    </row>
    <row r="30" spans="4:26" ht="15.75" customHeight="1" x14ac:dyDescent="0.25">
      <c r="D30" s="6">
        <v>28</v>
      </c>
      <c r="E30" s="3" t="str">
        <f>VLOOKUP(7,Draft!$A$2:$B$12,2,FALSE)</f>
        <v>Chris M</v>
      </c>
      <c r="F30" s="3" t="s">
        <v>50</v>
      </c>
      <c r="G30" s="10">
        <f t="shared" si="3"/>
        <v>7</v>
      </c>
      <c r="H30" s="10">
        <f t="shared" si="3"/>
        <v>7.2</v>
      </c>
      <c r="I30" s="10">
        <f t="shared" si="3"/>
        <v>6</v>
      </c>
      <c r="J30" s="10">
        <f t="shared" si="3"/>
        <v>5</v>
      </c>
      <c r="K30" s="10">
        <f t="shared" si="3"/>
        <v>7</v>
      </c>
      <c r="L30" s="10">
        <f t="shared" si="3"/>
        <v>5.9</v>
      </c>
      <c r="M30" s="10">
        <f t="shared" si="3"/>
        <v>7.2244999999999999</v>
      </c>
      <c r="N30" s="10">
        <f t="shared" si="3"/>
        <v>6.4</v>
      </c>
      <c r="O30" s="10">
        <f t="shared" si="3"/>
        <v>6.5</v>
      </c>
      <c r="P30" s="10">
        <f t="shared" si="3"/>
        <v>5</v>
      </c>
      <c r="Q30" s="10">
        <f t="shared" si="3"/>
        <v>6.3224499999999999</v>
      </c>
      <c r="R30" s="10">
        <f t="shared" si="3"/>
        <v>0.79496290636733236</v>
      </c>
      <c r="S30" s="10">
        <f t="shared" si="3"/>
        <v>-1.1009695539581654</v>
      </c>
      <c r="T30" s="10">
        <f t="shared" si="3"/>
        <v>3.9446088105270229</v>
      </c>
      <c r="U30" s="10">
        <f t="shared" si="3"/>
        <v>27</v>
      </c>
      <c r="V30" s="10">
        <f>IF(Table2[[#This Row],[Pick]]&gt;=Table2[[#This Row],[Rank]],1,-1)</f>
        <v>1</v>
      </c>
      <c r="W30" s="10">
        <f>Table2[[#This Row],[Pick]]-Table2[[#This Row],[Rank]]</f>
        <v>1</v>
      </c>
      <c r="X30" s="12">
        <v>2</v>
      </c>
      <c r="Y30" s="12" t="s">
        <v>90</v>
      </c>
      <c r="Z30" s="12" t="str">
        <f>"2024,"&amp;Table2[[#This Row],[Pick]]&amp;","&amp;Table2[[#This Row],[PlayerID]]&amp;","&amp;Table2[[#This Row],[T1]]</f>
        <v>2024,28,2,WAS</v>
      </c>
    </row>
    <row r="31" spans="4:26" ht="15.75" customHeight="1" x14ac:dyDescent="0.25">
      <c r="D31" s="6">
        <v>29</v>
      </c>
      <c r="E31" s="3" t="str">
        <f>VLOOKUP(2,Draft!$A$2:$B$12,2,FALSE)</f>
        <v>Conley</v>
      </c>
      <c r="F31" s="3" t="s">
        <v>30</v>
      </c>
      <c r="G31" s="10">
        <f t="shared" si="3"/>
        <v>5</v>
      </c>
      <c r="H31" s="10">
        <f t="shared" si="3"/>
        <v>6.6</v>
      </c>
      <c r="I31" s="10">
        <f t="shared" si="3"/>
        <v>5</v>
      </c>
      <c r="J31" s="10">
        <f t="shared" si="3"/>
        <v>8</v>
      </c>
      <c r="K31" s="10">
        <f t="shared" si="3"/>
        <v>7</v>
      </c>
      <c r="L31" s="10">
        <f t="shared" si="3"/>
        <v>6</v>
      </c>
      <c r="M31" s="10">
        <f t="shared" si="3"/>
        <v>7.0529999999999999</v>
      </c>
      <c r="N31" s="10">
        <f t="shared" si="3"/>
        <v>6.4</v>
      </c>
      <c r="O31" s="10">
        <f t="shared" si="3"/>
        <v>5.5</v>
      </c>
      <c r="P31" s="10">
        <f t="shared" si="3"/>
        <v>5</v>
      </c>
      <c r="Q31" s="10">
        <f t="shared" si="3"/>
        <v>6.1552999999999995</v>
      </c>
      <c r="R31" s="10">
        <f t="shared" si="3"/>
        <v>0.98171422012722365</v>
      </c>
      <c r="S31" s="10">
        <f t="shared" si="3"/>
        <v>-1.1857726971779567</v>
      </c>
      <c r="T31" s="10">
        <f t="shared" si="3"/>
        <v>3.6546615329561432</v>
      </c>
      <c r="U31" s="10">
        <f t="shared" si="3"/>
        <v>29</v>
      </c>
      <c r="V31" s="10">
        <f>IF(Table2[[#This Row],[Pick]]&gt;=Table2[[#This Row],[Rank]],1,-1)</f>
        <v>1</v>
      </c>
      <c r="W31" s="10">
        <f>Table2[[#This Row],[Pick]]-Table2[[#This Row],[Rank]]</f>
        <v>0</v>
      </c>
      <c r="X31" s="12">
        <v>8</v>
      </c>
      <c r="Y31" s="12" t="s">
        <v>92</v>
      </c>
      <c r="Z31" s="12" t="str">
        <f>"2024,"&amp;Table2[[#This Row],[Pick]]&amp;","&amp;Table2[[#This Row],[PlayerID]]&amp;","&amp;Table2[[#This Row],[T1]]</f>
        <v>2024,29,8,DEN</v>
      </c>
    </row>
    <row r="32" spans="4:26" ht="15.75" customHeight="1" x14ac:dyDescent="0.25">
      <c r="D32" s="6">
        <v>30</v>
      </c>
      <c r="E32" s="3" t="str">
        <f>VLOOKUP(3,Draft!$A$2:$B$12,2,FALSE)</f>
        <v>Brad</v>
      </c>
      <c r="F32" s="3" t="s">
        <v>53</v>
      </c>
      <c r="G32" s="10">
        <f t="shared" si="3"/>
        <v>4</v>
      </c>
      <c r="H32" s="10">
        <f t="shared" si="3"/>
        <v>6.9</v>
      </c>
      <c r="I32" s="10">
        <f t="shared" si="3"/>
        <v>8</v>
      </c>
      <c r="J32" s="10">
        <f t="shared" si="3"/>
        <v>6</v>
      </c>
      <c r="K32" s="10">
        <f t="shared" si="3"/>
        <v>6</v>
      </c>
      <c r="L32" s="10">
        <f t="shared" si="3"/>
        <v>6.7</v>
      </c>
      <c r="M32" s="10">
        <f t="shared" si="3"/>
        <v>7.1874000000000002</v>
      </c>
      <c r="N32" s="10">
        <f t="shared" si="3"/>
        <v>5.8</v>
      </c>
      <c r="O32" s="10">
        <f t="shared" si="3"/>
        <v>6.5</v>
      </c>
      <c r="P32" s="10">
        <f t="shared" si="3"/>
        <v>4.3</v>
      </c>
      <c r="Q32" s="10">
        <f t="shared" si="3"/>
        <v>6.1387400000000003</v>
      </c>
      <c r="R32" s="10">
        <f t="shared" si="3"/>
        <v>1.1703602387299394</v>
      </c>
      <c r="S32" s="10">
        <f t="shared" si="3"/>
        <v>-1.1941743726294654</v>
      </c>
      <c r="T32" s="10">
        <f t="shared" si="3"/>
        <v>3.856157015836275</v>
      </c>
      <c r="U32" s="10">
        <f t="shared" si="3"/>
        <v>30</v>
      </c>
      <c r="V32" s="10">
        <f>IF(Table2[[#This Row],[Pick]]&gt;=Table2[[#This Row],[Rank]],1,-1)</f>
        <v>1</v>
      </c>
      <c r="W32" s="10">
        <f>Table2[[#This Row],[Pick]]-Table2[[#This Row],[Rank]]</f>
        <v>0</v>
      </c>
      <c r="X32" s="12">
        <v>3</v>
      </c>
      <c r="Y32" s="12" t="s">
        <v>109</v>
      </c>
      <c r="Z32" s="12" t="str">
        <f>"2024,"&amp;Table2[[#This Row],[Pick]]&amp;","&amp;Table2[[#This Row],[PlayerID]]&amp;","&amp;Table2[[#This Row],[T1]]</f>
        <v>2024,30,3,NYG</v>
      </c>
    </row>
    <row r="33" spans="4:24" ht="15.75" customHeight="1" x14ac:dyDescent="0.25">
      <c r="Q33" s="1"/>
      <c r="R33" s="1"/>
      <c r="S33" s="1"/>
      <c r="T33" s="1"/>
    </row>
    <row r="34" spans="4:24" ht="15.75" customHeight="1" x14ac:dyDescent="0.25">
      <c r="Q34" s="1"/>
      <c r="R34" s="1"/>
      <c r="S34" s="1"/>
      <c r="T34" s="1"/>
    </row>
    <row r="35" spans="4:24" ht="15.75" customHeight="1" x14ac:dyDescent="0.25">
      <c r="Q35" s="1"/>
      <c r="R35" s="1"/>
      <c r="S35" s="1"/>
      <c r="T35" s="1"/>
    </row>
    <row r="36" spans="4:24" ht="15.75" customHeight="1" x14ac:dyDescent="0.25">
      <c r="Q36" s="1"/>
      <c r="R36" s="1"/>
      <c r="S36" s="1"/>
      <c r="T36" s="1"/>
    </row>
    <row r="37" spans="4:24" ht="15.75" customHeight="1" x14ac:dyDescent="0.25">
      <c r="Q37" s="1"/>
      <c r="R37" s="1"/>
      <c r="S37" s="1"/>
      <c r="T37" s="1"/>
    </row>
    <row r="38" spans="4:24" ht="15.75" customHeight="1" x14ac:dyDescent="0.25">
      <c r="Q38" s="1"/>
      <c r="R38" s="1"/>
      <c r="S38" s="1"/>
      <c r="T38" s="1"/>
    </row>
    <row r="39" spans="4:24" ht="15.75" customHeight="1" x14ac:dyDescent="0.25">
      <c r="P39" s="2"/>
      <c r="Q39" s="1"/>
      <c r="R39" s="1"/>
      <c r="S39" s="1"/>
      <c r="T39" s="1"/>
    </row>
    <row r="40" spans="4:24" x14ac:dyDescent="0.25">
      <c r="D40" s="2" t="s">
        <v>35</v>
      </c>
      <c r="E40" s="2" t="s">
        <v>36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18</v>
      </c>
      <c r="K40" s="2" t="s">
        <v>19</v>
      </c>
      <c r="L40" s="8" t="s">
        <v>71</v>
      </c>
      <c r="M40" s="9" t="s">
        <v>77</v>
      </c>
      <c r="N40" s="2" t="s">
        <v>20</v>
      </c>
      <c r="O40" s="2" t="s">
        <v>21</v>
      </c>
      <c r="P40" s="9" t="s">
        <v>76</v>
      </c>
      <c r="Q40" s="1" t="s">
        <v>37</v>
      </c>
      <c r="R40" s="1" t="s">
        <v>23</v>
      </c>
      <c r="S40" s="1" t="s">
        <v>72</v>
      </c>
      <c r="T40" s="1" t="s">
        <v>73</v>
      </c>
      <c r="U40" s="2" t="s">
        <v>38</v>
      </c>
    </row>
    <row r="41" spans="4:24" x14ac:dyDescent="0.25">
      <c r="D41" s="5">
        <f t="shared" ref="D41:D72" si="4">_xlfn.IFNA(INDEX($D$3:$F$32,MATCH($F41,$F$3:$F$32,0),1),"")</f>
        <v>1</v>
      </c>
      <c r="E41" s="5" t="str">
        <f t="shared" ref="E41:E72" si="5">IF(COUNTIF($F$3:$F$32,$F41)&gt;0,"x","")</f>
        <v>x</v>
      </c>
      <c r="F41" s="3" t="s">
        <v>27</v>
      </c>
      <c r="G41" s="2">
        <v>11</v>
      </c>
      <c r="H41" s="2">
        <v>10.4</v>
      </c>
      <c r="I41" s="2">
        <v>11</v>
      </c>
      <c r="J41" s="2">
        <v>13</v>
      </c>
      <c r="K41" s="2">
        <v>12</v>
      </c>
      <c r="L41" s="2">
        <v>11.3</v>
      </c>
      <c r="M41" s="2">
        <v>10.9056</v>
      </c>
      <c r="N41" s="2">
        <v>11.4</v>
      </c>
      <c r="O41" s="2">
        <v>11.5</v>
      </c>
      <c r="P41" s="2">
        <v>11.4</v>
      </c>
      <c r="Q41" s="1">
        <f t="shared" ref="Q41:Q72" si="6">AVERAGE(G41:P41)</f>
        <v>11.390560000000002</v>
      </c>
      <c r="R41" s="1">
        <f t="shared" ref="R41:R72" si="7">_xlfn.STDEV.P(G41:P41)</f>
        <v>0.6710842140894091</v>
      </c>
      <c r="S41" s="1">
        <f>(Table_1[[#This Row],[Avg]]-$X$41)/$X$42</f>
        <v>1.4703236448671753</v>
      </c>
      <c r="T41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3.6596900309565727</v>
      </c>
      <c r="U41" s="2">
        <f>_xlfn.RANK.EQ(Draft!Q41,Draft!$Q$41:$Q$72)</f>
        <v>1</v>
      </c>
      <c r="X41">
        <f>AVERAGE(Table_1[[BR]:[Clay]])</f>
        <v>8.4924999999999962</v>
      </c>
    </row>
    <row r="42" spans="4:24" x14ac:dyDescent="0.25">
      <c r="D42" s="5">
        <f t="shared" si="4"/>
        <v>4</v>
      </c>
      <c r="E42" s="5" t="str">
        <f t="shared" si="5"/>
        <v>x</v>
      </c>
      <c r="F42" s="3" t="s">
        <v>51</v>
      </c>
      <c r="G42" s="2">
        <v>13</v>
      </c>
      <c r="H42" s="2">
        <v>9.9</v>
      </c>
      <c r="I42" s="2">
        <v>12</v>
      </c>
      <c r="J42" s="2">
        <v>13</v>
      </c>
      <c r="K42" s="2">
        <v>12</v>
      </c>
      <c r="L42" s="2">
        <v>10.5</v>
      </c>
      <c r="M42" s="2">
        <v>9.7087000000000003</v>
      </c>
      <c r="N42" s="2">
        <v>10.7</v>
      </c>
      <c r="O42" s="2">
        <v>10.5</v>
      </c>
      <c r="P42" s="2">
        <v>10.7</v>
      </c>
      <c r="Q42" s="1">
        <f t="shared" si="6"/>
        <v>11.20087</v>
      </c>
      <c r="R42" s="1">
        <f t="shared" si="7"/>
        <v>1.1469074993651358</v>
      </c>
      <c r="S42" s="1">
        <f>(Table_1[[#This Row],[Avg]]-$X$41)/$X$42</f>
        <v>1.3740848878383845</v>
      </c>
      <c r="T42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4.0896036856555691</v>
      </c>
      <c r="U42" s="2">
        <f>_xlfn.RANK.EQ(Draft!Q42,Draft!$Q$41:$Q$72)</f>
        <v>2</v>
      </c>
      <c r="X42">
        <f>_xlfn.STDEV.P(Table_1[[BR]:[Clay]])</f>
        <v>1.9710354316323389</v>
      </c>
    </row>
    <row r="43" spans="4:24" x14ac:dyDescent="0.25">
      <c r="D43" s="5">
        <f t="shared" si="4"/>
        <v>3</v>
      </c>
      <c r="E43" s="5" t="str">
        <f t="shared" si="5"/>
        <v>x</v>
      </c>
      <c r="F43" s="3" t="s">
        <v>40</v>
      </c>
      <c r="G43" s="2">
        <v>11</v>
      </c>
      <c r="H43" s="2">
        <v>10.4</v>
      </c>
      <c r="I43" s="2">
        <v>10</v>
      </c>
      <c r="J43" s="2">
        <v>10</v>
      </c>
      <c r="K43" s="2">
        <v>11</v>
      </c>
      <c r="L43" s="2">
        <v>11.4</v>
      </c>
      <c r="M43" s="2">
        <v>10.6623</v>
      </c>
      <c r="N43" s="2">
        <v>11</v>
      </c>
      <c r="O43" s="2">
        <v>11.5</v>
      </c>
      <c r="P43" s="2">
        <v>12.3</v>
      </c>
      <c r="Q43" s="1">
        <f t="shared" si="6"/>
        <v>10.92623</v>
      </c>
      <c r="R43" s="1">
        <f t="shared" si="7"/>
        <v>0.67228127751708222</v>
      </c>
      <c r="S43" s="1">
        <f>(Table_1[[#This Row],[Avg]]-$X$41)/$X$42</f>
        <v>1.2347469563164974</v>
      </c>
      <c r="T43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4.6948670997009438</v>
      </c>
      <c r="U43" s="2">
        <f>_xlfn.RANK.EQ(Draft!Q43,Draft!$Q$41:$Q$72)</f>
        <v>3</v>
      </c>
    </row>
    <row r="44" spans="4:24" x14ac:dyDescent="0.25">
      <c r="D44" s="5">
        <f t="shared" si="4"/>
        <v>5</v>
      </c>
      <c r="E44" s="5" t="str">
        <f t="shared" si="5"/>
        <v>x</v>
      </c>
      <c r="F44" s="3" t="s">
        <v>28</v>
      </c>
      <c r="G44" s="2">
        <v>11</v>
      </c>
      <c r="H44" s="2">
        <v>9.6999999999999993</v>
      </c>
      <c r="I44" s="2">
        <v>10</v>
      </c>
      <c r="J44" s="2">
        <v>11</v>
      </c>
      <c r="K44" s="2">
        <v>12</v>
      </c>
      <c r="L44" s="2">
        <v>10.199999999999999</v>
      </c>
      <c r="M44" s="2">
        <v>10.217499999999999</v>
      </c>
      <c r="N44" s="2">
        <v>10.5</v>
      </c>
      <c r="O44" s="2">
        <v>10.5</v>
      </c>
      <c r="P44" s="2">
        <v>11.3</v>
      </c>
      <c r="Q44" s="1">
        <f t="shared" si="6"/>
        <v>10.64175</v>
      </c>
      <c r="R44" s="1">
        <f t="shared" si="7"/>
        <v>0.65183399918997798</v>
      </c>
      <c r="S44" s="1">
        <f>(Table_1[[#This Row],[Avg]]-$X$41)/$X$42</f>
        <v>1.0904167248886409</v>
      </c>
      <c r="T44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3.7649889152011182</v>
      </c>
      <c r="U44" s="2">
        <f>_xlfn.RANK.EQ(Draft!Q44,Draft!$Q$41:$Q$72)</f>
        <v>4</v>
      </c>
    </row>
    <row r="45" spans="4:24" x14ac:dyDescent="0.25">
      <c r="D45" s="5">
        <f t="shared" si="4"/>
        <v>10</v>
      </c>
      <c r="E45" s="5" t="str">
        <f t="shared" si="5"/>
        <v>x</v>
      </c>
      <c r="F45" s="3" t="s">
        <v>31</v>
      </c>
      <c r="G45" s="2">
        <v>11</v>
      </c>
      <c r="H45" s="2">
        <v>9.8000000000000007</v>
      </c>
      <c r="I45" s="2">
        <v>11</v>
      </c>
      <c r="J45" s="2">
        <v>11</v>
      </c>
      <c r="K45" s="2">
        <v>11</v>
      </c>
      <c r="L45" s="2">
        <v>10.199999999999999</v>
      </c>
      <c r="M45" s="2">
        <v>9.7653999999999996</v>
      </c>
      <c r="N45" s="2">
        <v>10.4</v>
      </c>
      <c r="O45" s="2">
        <v>10.5</v>
      </c>
      <c r="P45" s="2">
        <v>10.3</v>
      </c>
      <c r="Q45" s="1">
        <f t="shared" si="6"/>
        <v>10.49654</v>
      </c>
      <c r="R45" s="1">
        <f t="shared" si="7"/>
        <v>0.46578079007189638</v>
      </c>
      <c r="S45" s="1">
        <f>(Table_1[[#This Row],[Avg]]-$X$41)/$X$42</f>
        <v>1.0167447869469963</v>
      </c>
      <c r="T45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4.7247391658107096</v>
      </c>
      <c r="U45" s="2">
        <f>_xlfn.RANK.EQ(Draft!Q45,Draft!$Q$41:$Q$72)</f>
        <v>5</v>
      </c>
    </row>
    <row r="46" spans="4:24" x14ac:dyDescent="0.25">
      <c r="D46" s="5">
        <f t="shared" si="4"/>
        <v>8</v>
      </c>
      <c r="E46" s="5" t="str">
        <f t="shared" si="5"/>
        <v>x</v>
      </c>
      <c r="F46" s="3" t="s">
        <v>34</v>
      </c>
      <c r="G46" s="2">
        <v>12</v>
      </c>
      <c r="H46" s="2">
        <v>10.3</v>
      </c>
      <c r="I46" s="2">
        <v>10</v>
      </c>
      <c r="J46" s="2">
        <v>11</v>
      </c>
      <c r="K46" s="2">
        <v>9</v>
      </c>
      <c r="L46" s="2">
        <v>10.199999999999999</v>
      </c>
      <c r="M46" s="2">
        <v>9.7890999999999995</v>
      </c>
      <c r="N46" s="2">
        <v>11.2</v>
      </c>
      <c r="O46" s="2">
        <v>10.5</v>
      </c>
      <c r="P46" s="2">
        <v>9.8000000000000007</v>
      </c>
      <c r="Q46" s="1">
        <f t="shared" si="6"/>
        <v>10.378910000000001</v>
      </c>
      <c r="R46" s="1">
        <f t="shared" si="7"/>
        <v>0.80428545486039971</v>
      </c>
      <c r="S46" s="1">
        <f>(Table_1[[#This Row],[Avg]]-$X$41)/$X$42</f>
        <v>0.9570654944735062</v>
      </c>
      <c r="T46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4.1215701801028084</v>
      </c>
      <c r="U46" s="2">
        <f>_xlfn.RANK.EQ(Draft!Q46,Draft!$Q$41:$Q$72)</f>
        <v>6</v>
      </c>
    </row>
    <row r="47" spans="4:24" x14ac:dyDescent="0.25">
      <c r="D47" s="5">
        <f t="shared" si="4"/>
        <v>6</v>
      </c>
      <c r="E47" s="5" t="str">
        <f t="shared" si="5"/>
        <v>x</v>
      </c>
      <c r="F47" s="3" t="s">
        <v>25</v>
      </c>
      <c r="G47" s="2">
        <v>10</v>
      </c>
      <c r="H47" s="2">
        <v>9.1999999999999993</v>
      </c>
      <c r="I47" s="2">
        <v>12</v>
      </c>
      <c r="J47" s="2">
        <v>11</v>
      </c>
      <c r="K47" s="2">
        <v>11</v>
      </c>
      <c r="L47" s="2">
        <v>9.8000000000000007</v>
      </c>
      <c r="M47" s="2">
        <v>9.2241</v>
      </c>
      <c r="N47" s="2">
        <v>9.8000000000000007</v>
      </c>
      <c r="O47" s="2">
        <v>9.5</v>
      </c>
      <c r="P47" s="2">
        <v>9</v>
      </c>
      <c r="Q47" s="1">
        <f t="shared" si="6"/>
        <v>10.052409999999998</v>
      </c>
      <c r="R47" s="1">
        <f t="shared" si="7"/>
        <v>0.92436749883366187</v>
      </c>
      <c r="S47" s="1">
        <f>(Table_1[[#This Row],[Avg]]-$X$41)/$X$42</f>
        <v>0.79141651893499565</v>
      </c>
      <c r="T47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3.5540011508213523</v>
      </c>
      <c r="U47" s="2">
        <f>_xlfn.RANK.EQ(Draft!Q47,Draft!$Q$41:$Q$72)</f>
        <v>7</v>
      </c>
    </row>
    <row r="48" spans="4:24" x14ac:dyDescent="0.25">
      <c r="D48" s="5">
        <f t="shared" si="4"/>
        <v>7</v>
      </c>
      <c r="E48" s="5" t="str">
        <f t="shared" si="5"/>
        <v>x</v>
      </c>
      <c r="F48" s="3" t="s">
        <v>55</v>
      </c>
      <c r="G48" s="2">
        <v>10</v>
      </c>
      <c r="H48" s="2">
        <v>9.3000000000000007</v>
      </c>
      <c r="I48" s="2">
        <v>9</v>
      </c>
      <c r="J48" s="2">
        <v>12</v>
      </c>
      <c r="K48" s="2">
        <v>10</v>
      </c>
      <c r="L48" s="2">
        <v>9.6</v>
      </c>
      <c r="M48" s="2">
        <v>9.0349000000000004</v>
      </c>
      <c r="N48" s="2">
        <v>10.1</v>
      </c>
      <c r="O48" s="2">
        <v>9.5</v>
      </c>
      <c r="P48" s="2">
        <v>11.7</v>
      </c>
      <c r="Q48" s="1">
        <f t="shared" si="6"/>
        <v>10.023489999999999</v>
      </c>
      <c r="R48" s="1">
        <f t="shared" si="7"/>
        <v>0.98619978751772186</v>
      </c>
      <c r="S48" s="1">
        <f>(Table_1[[#This Row],[Avg]]-$X$41)/$X$42</f>
        <v>0.77674402774794027</v>
      </c>
      <c r="T48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3.6067048248050195</v>
      </c>
      <c r="U48" s="2">
        <f>_xlfn.RANK.EQ(Draft!Q48,Draft!$Q$41:$Q$72)</f>
        <v>8</v>
      </c>
    </row>
    <row r="49" spans="4:21" x14ac:dyDescent="0.25">
      <c r="D49" s="5">
        <f t="shared" si="4"/>
        <v>13</v>
      </c>
      <c r="E49" s="5" t="str">
        <f t="shared" si="5"/>
        <v>x</v>
      </c>
      <c r="F49" s="3" t="s">
        <v>44</v>
      </c>
      <c r="G49" s="2">
        <v>11</v>
      </c>
      <c r="H49" s="2">
        <v>9.1999999999999993</v>
      </c>
      <c r="I49" s="2">
        <v>9</v>
      </c>
      <c r="J49" s="2">
        <v>9</v>
      </c>
      <c r="K49" s="2">
        <v>11</v>
      </c>
      <c r="L49" s="2">
        <v>9.5</v>
      </c>
      <c r="M49" s="2">
        <v>9.141</v>
      </c>
      <c r="N49" s="2">
        <v>10</v>
      </c>
      <c r="O49" s="2">
        <v>9.5</v>
      </c>
      <c r="P49" s="2">
        <v>9.8000000000000007</v>
      </c>
      <c r="Q49" s="1">
        <f t="shared" si="6"/>
        <v>9.7141000000000002</v>
      </c>
      <c r="R49" s="1">
        <f t="shared" si="7"/>
        <v>0.71417735192317611</v>
      </c>
      <c r="S49" s="1">
        <f>(Table_1[[#This Row],[Avg]]-$X$41)/$X$42</f>
        <v>0.61977576881422169</v>
      </c>
      <c r="T49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3.3454589536339787</v>
      </c>
      <c r="U49" s="2">
        <f>_xlfn.RANK.EQ(Draft!Q49,Draft!$Q$41:$Q$72)</f>
        <v>9</v>
      </c>
    </row>
    <row r="50" spans="4:21" x14ac:dyDescent="0.25">
      <c r="D50" s="5">
        <f t="shared" si="4"/>
        <v>2</v>
      </c>
      <c r="E50" s="5" t="str">
        <f t="shared" si="5"/>
        <v>x</v>
      </c>
      <c r="F50" s="3" t="s">
        <v>39</v>
      </c>
      <c r="G50" s="2">
        <v>8</v>
      </c>
      <c r="H50" s="2">
        <v>9.5</v>
      </c>
      <c r="I50" s="2">
        <v>9</v>
      </c>
      <c r="J50" s="2">
        <v>11</v>
      </c>
      <c r="K50" s="2">
        <v>10</v>
      </c>
      <c r="L50" s="2">
        <v>10</v>
      </c>
      <c r="M50" s="2">
        <v>9.6039999999999992</v>
      </c>
      <c r="N50" s="2">
        <v>9.1999999999999993</v>
      </c>
      <c r="O50" s="2">
        <v>9.5</v>
      </c>
      <c r="P50" s="2">
        <v>11.3</v>
      </c>
      <c r="Q50" s="1">
        <f t="shared" si="6"/>
        <v>9.7103999999999999</v>
      </c>
      <c r="R50" s="1">
        <f t="shared" si="7"/>
        <v>0.90267017232209479</v>
      </c>
      <c r="S50" s="1">
        <f>(Table_1[[#This Row],[Avg]]-$X$41)/$X$42</f>
        <v>0.61789858287396893</v>
      </c>
      <c r="T50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3.9495606019358105</v>
      </c>
      <c r="U50" s="2">
        <f>_xlfn.RANK.EQ(Draft!Q50,Draft!$Q$41:$Q$72)</f>
        <v>10</v>
      </c>
    </row>
    <row r="51" spans="4:21" x14ac:dyDescent="0.25">
      <c r="D51" s="5">
        <f t="shared" si="4"/>
        <v>11</v>
      </c>
      <c r="E51" s="5" t="str">
        <f t="shared" si="5"/>
        <v>x</v>
      </c>
      <c r="F51" s="3" t="s">
        <v>59</v>
      </c>
      <c r="G51" s="2">
        <v>12</v>
      </c>
      <c r="H51" s="8">
        <v>9.4</v>
      </c>
      <c r="I51" s="2">
        <v>9</v>
      </c>
      <c r="J51" s="2">
        <v>10</v>
      </c>
      <c r="K51" s="2">
        <v>10</v>
      </c>
      <c r="L51" s="2">
        <v>9</v>
      </c>
      <c r="M51" s="2">
        <v>8.9095999999999993</v>
      </c>
      <c r="N51" s="2">
        <v>10.4</v>
      </c>
      <c r="O51" s="2">
        <v>9.5</v>
      </c>
      <c r="P51" s="2">
        <v>8.6999999999999993</v>
      </c>
      <c r="Q51" s="1">
        <f t="shared" si="6"/>
        <v>9.6909600000000005</v>
      </c>
      <c r="R51" s="1">
        <f t="shared" si="7"/>
        <v>0.93241165501081136</v>
      </c>
      <c r="S51" s="1">
        <f>(Table_1[[#This Row],[Avg]]-$X$41)/$X$42</f>
        <v>0.60803574647437153</v>
      </c>
      <c r="T51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3.7262823966159617</v>
      </c>
      <c r="U51" s="2">
        <f>_xlfn.RANK.EQ(Draft!Q51,Draft!$Q$41:$Q$72)</f>
        <v>11</v>
      </c>
    </row>
    <row r="52" spans="4:21" x14ac:dyDescent="0.25">
      <c r="D52" s="5">
        <f t="shared" si="4"/>
        <v>9</v>
      </c>
      <c r="E52" s="5" t="str">
        <f t="shared" si="5"/>
        <v>x</v>
      </c>
      <c r="F52" s="3" t="s">
        <v>24</v>
      </c>
      <c r="G52" s="2">
        <v>9</v>
      </c>
      <c r="H52" s="2">
        <v>9.4</v>
      </c>
      <c r="I52" s="2">
        <v>10</v>
      </c>
      <c r="J52" s="2">
        <v>7</v>
      </c>
      <c r="K52" s="2">
        <v>9</v>
      </c>
      <c r="L52" s="2">
        <v>9.6999999999999993</v>
      </c>
      <c r="M52" s="2">
        <v>9.7230000000000008</v>
      </c>
      <c r="N52" s="2">
        <v>10.1</v>
      </c>
      <c r="O52" s="2">
        <v>10.5</v>
      </c>
      <c r="P52" s="2">
        <v>10</v>
      </c>
      <c r="Q52" s="1">
        <f t="shared" si="6"/>
        <v>9.4422999999999995</v>
      </c>
      <c r="R52" s="1">
        <f t="shared" si="7"/>
        <v>0.93147389120683355</v>
      </c>
      <c r="S52" s="1">
        <f>(Table_1[[#This Row],[Avg]]-$X$41)/$X$42</f>
        <v>0.48187870433836594</v>
      </c>
      <c r="T52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4.5609690274168511</v>
      </c>
      <c r="U52" s="2">
        <f>_xlfn.RANK.EQ(Draft!Q52,Draft!$Q$41:$Q$72)</f>
        <v>12</v>
      </c>
    </row>
    <row r="53" spans="4:21" x14ac:dyDescent="0.25">
      <c r="D53" s="5">
        <f t="shared" si="4"/>
        <v>14</v>
      </c>
      <c r="E53" s="5" t="str">
        <f t="shared" si="5"/>
        <v>x</v>
      </c>
      <c r="F53" s="3" t="s">
        <v>29</v>
      </c>
      <c r="G53" s="2">
        <v>9</v>
      </c>
      <c r="H53" s="2">
        <v>8.6999999999999993</v>
      </c>
      <c r="I53" s="2">
        <v>11</v>
      </c>
      <c r="J53" s="2">
        <v>9</v>
      </c>
      <c r="K53" s="2">
        <v>12</v>
      </c>
      <c r="L53" s="2">
        <v>8.8000000000000007</v>
      </c>
      <c r="M53" s="2">
        <v>8.5547000000000004</v>
      </c>
      <c r="N53" s="2">
        <v>8.9</v>
      </c>
      <c r="O53" s="2">
        <v>8.5</v>
      </c>
      <c r="P53" s="2">
        <v>7.6</v>
      </c>
      <c r="Q53" s="1">
        <f t="shared" si="6"/>
        <v>9.20547</v>
      </c>
      <c r="R53" s="1">
        <f t="shared" si="7"/>
        <v>1.2298826318393139</v>
      </c>
      <c r="S53" s="1">
        <f>(Table_1[[#This Row],[Avg]]-$X$41)/$X$42</f>
        <v>0.36172358373565533</v>
      </c>
      <c r="T53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2.6161831682199819</v>
      </c>
      <c r="U53" s="2">
        <f>_xlfn.RANK.EQ(Draft!Q53,Draft!$Q$41:$Q$72)</f>
        <v>13</v>
      </c>
    </row>
    <row r="54" spans="4:21" x14ac:dyDescent="0.25">
      <c r="D54" s="5">
        <f t="shared" si="4"/>
        <v>12</v>
      </c>
      <c r="E54" s="5" t="str">
        <f t="shared" si="5"/>
        <v>x</v>
      </c>
      <c r="F54" s="3" t="s">
        <v>57</v>
      </c>
      <c r="G54" s="2">
        <v>9</v>
      </c>
      <c r="H54" s="2">
        <v>9.1999999999999993</v>
      </c>
      <c r="I54" s="2">
        <v>8</v>
      </c>
      <c r="J54" s="2">
        <v>6</v>
      </c>
      <c r="K54" s="2">
        <v>10</v>
      </c>
      <c r="L54" s="2">
        <v>9.4</v>
      </c>
      <c r="M54" s="2">
        <v>9.0563000000000002</v>
      </c>
      <c r="N54" s="2">
        <v>10.1</v>
      </c>
      <c r="O54" s="2">
        <v>9.5</v>
      </c>
      <c r="P54" s="2">
        <v>9.5</v>
      </c>
      <c r="Q54" s="1">
        <f t="shared" si="6"/>
        <v>8.9756299999999989</v>
      </c>
      <c r="R54" s="1">
        <f t="shared" si="7"/>
        <v>1.136099939309922</v>
      </c>
      <c r="S54" s="1">
        <f>(Table_1[[#This Row],[Avg]]-$X$41)/$X$42</f>
        <v>0.24511482251736708</v>
      </c>
      <c r="T54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5.1294308671322657</v>
      </c>
      <c r="U54" s="2">
        <f>_xlfn.RANK.EQ(Draft!Q54,Draft!$Q$41:$Q$72)</f>
        <v>14</v>
      </c>
    </row>
    <row r="55" spans="4:21" x14ac:dyDescent="0.25">
      <c r="D55" s="5">
        <f t="shared" si="4"/>
        <v>22</v>
      </c>
      <c r="E55" s="5" t="str">
        <f t="shared" si="5"/>
        <v>x</v>
      </c>
      <c r="F55" s="3" t="s">
        <v>58</v>
      </c>
      <c r="G55" s="2">
        <v>10</v>
      </c>
      <c r="H55" s="2">
        <v>8.8000000000000007</v>
      </c>
      <c r="I55" s="2">
        <v>9</v>
      </c>
      <c r="J55" s="2">
        <v>10</v>
      </c>
      <c r="K55" s="2">
        <v>8</v>
      </c>
      <c r="L55" s="2">
        <v>8.1</v>
      </c>
      <c r="M55" s="2">
        <v>8.6811000000000007</v>
      </c>
      <c r="N55" s="2">
        <v>8.6</v>
      </c>
      <c r="O55" s="2">
        <v>8.5</v>
      </c>
      <c r="P55" s="2">
        <v>8.6</v>
      </c>
      <c r="Q55" s="1">
        <f t="shared" si="6"/>
        <v>8.8281099999999988</v>
      </c>
      <c r="R55" s="1">
        <f t="shared" si="7"/>
        <v>0.65009503066859398</v>
      </c>
      <c r="S55" s="1">
        <f>(Table_1[[#This Row],[Avg]]-$X$41)/$X$42</f>
        <v>0.17027091173194325</v>
      </c>
      <c r="T55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3.3589132206308747</v>
      </c>
      <c r="U55" s="2">
        <f>_xlfn.RANK.EQ(Draft!Q55,Draft!$Q$41:$Q$72)</f>
        <v>15</v>
      </c>
    </row>
    <row r="56" spans="4:21" x14ac:dyDescent="0.25">
      <c r="D56" s="5">
        <f t="shared" si="4"/>
        <v>15</v>
      </c>
      <c r="E56" s="5" t="str">
        <f t="shared" si="5"/>
        <v>x</v>
      </c>
      <c r="F56" s="3" t="s">
        <v>33</v>
      </c>
      <c r="G56" s="2">
        <v>9</v>
      </c>
      <c r="H56" s="8">
        <v>8.8000000000000007</v>
      </c>
      <c r="I56" s="2">
        <v>9</v>
      </c>
      <c r="J56" s="2">
        <v>9</v>
      </c>
      <c r="K56" s="2">
        <v>10</v>
      </c>
      <c r="L56" s="2">
        <v>8.9</v>
      </c>
      <c r="M56" s="2">
        <v>8.4461999999999993</v>
      </c>
      <c r="N56" s="2">
        <v>8</v>
      </c>
      <c r="O56" s="2">
        <v>8.5</v>
      </c>
      <c r="P56" s="2">
        <v>7.9</v>
      </c>
      <c r="Q56" s="1">
        <f t="shared" si="6"/>
        <v>8.7546199999999992</v>
      </c>
      <c r="R56" s="1">
        <f t="shared" si="7"/>
        <v>0.56697275031521566</v>
      </c>
      <c r="S56" s="1">
        <f>(Table_1[[#This Row],[Avg]]-$X$41)/$X$42</f>
        <v>0.13298594017811485</v>
      </c>
      <c r="T56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4.414176022343077</v>
      </c>
      <c r="U56" s="2">
        <f>_xlfn.RANK.EQ(Draft!Q56,Draft!$Q$41:$Q$72)</f>
        <v>16</v>
      </c>
    </row>
    <row r="57" spans="4:21" x14ac:dyDescent="0.25">
      <c r="D57" s="5">
        <f t="shared" si="4"/>
        <v>21</v>
      </c>
      <c r="E57" s="5" t="str">
        <f t="shared" si="5"/>
        <v>x</v>
      </c>
      <c r="F57" s="3" t="s">
        <v>48</v>
      </c>
      <c r="G57" s="2">
        <v>10</v>
      </c>
      <c r="H57" s="2">
        <v>8</v>
      </c>
      <c r="I57" s="2">
        <v>10</v>
      </c>
      <c r="J57" s="2">
        <v>8</v>
      </c>
      <c r="K57" s="2">
        <v>8</v>
      </c>
      <c r="L57" s="2">
        <v>7.6</v>
      </c>
      <c r="M57" s="2">
        <v>8.0216999999999992</v>
      </c>
      <c r="N57" s="2">
        <v>8.6</v>
      </c>
      <c r="O57" s="2">
        <v>8.5</v>
      </c>
      <c r="P57" s="2">
        <v>8.1</v>
      </c>
      <c r="Q57" s="1">
        <f t="shared" si="6"/>
        <v>8.48217</v>
      </c>
      <c r="R57" s="1">
        <f t="shared" si="7"/>
        <v>0.8034669751147212</v>
      </c>
      <c r="S57" s="1">
        <f>(Table_1[[#This Row],[Avg]]-$X$41)/$X$42</f>
        <v>-5.2409002061628339E-3</v>
      </c>
      <c r="T57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3.1822515164979466</v>
      </c>
      <c r="U57" s="2">
        <f>_xlfn.RANK.EQ(Draft!Q57,Draft!$Q$41:$Q$72)</f>
        <v>17</v>
      </c>
    </row>
    <row r="58" spans="4:21" x14ac:dyDescent="0.25">
      <c r="D58" s="5">
        <f t="shared" si="4"/>
        <v>18</v>
      </c>
      <c r="E58" s="5" t="str">
        <f t="shared" si="5"/>
        <v>x</v>
      </c>
      <c r="F58" s="3" t="s">
        <v>49</v>
      </c>
      <c r="G58" s="2">
        <v>8</v>
      </c>
      <c r="H58" s="2">
        <v>8.6</v>
      </c>
      <c r="I58" s="2">
        <v>9</v>
      </c>
      <c r="J58" s="2">
        <v>6</v>
      </c>
      <c r="K58" s="2">
        <v>9</v>
      </c>
      <c r="L58" s="2">
        <v>8.6999999999999993</v>
      </c>
      <c r="M58" s="2">
        <v>8.1077999999999992</v>
      </c>
      <c r="N58" s="2">
        <v>8.6999999999999993</v>
      </c>
      <c r="O58" s="2">
        <v>8.5</v>
      </c>
      <c r="P58" s="2">
        <v>10.199999999999999</v>
      </c>
      <c r="Q58" s="1">
        <f t="shared" si="6"/>
        <v>8.4807799999999993</v>
      </c>
      <c r="R58" s="1">
        <f t="shared" si="7"/>
        <v>1.0064853081888445</v>
      </c>
      <c r="S58" s="1">
        <f>(Table_1[[#This Row],[Avg]]-$X$41)/$X$42</f>
        <v>-5.9461133026364587E-3</v>
      </c>
      <c r="T58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5.5641998039760523</v>
      </c>
      <c r="U58" s="2">
        <f>_xlfn.RANK.EQ(Draft!Q58,Draft!$Q$41:$Q$72)</f>
        <v>18</v>
      </c>
    </row>
    <row r="59" spans="4:21" x14ac:dyDescent="0.25">
      <c r="D59" s="5">
        <f t="shared" si="4"/>
        <v>16</v>
      </c>
      <c r="E59" s="5" t="str">
        <f t="shared" si="5"/>
        <v>x</v>
      </c>
      <c r="F59" s="3" t="s">
        <v>52</v>
      </c>
      <c r="G59" s="2">
        <v>7</v>
      </c>
      <c r="H59" s="2">
        <v>8.3000000000000007</v>
      </c>
      <c r="I59" s="2">
        <v>7</v>
      </c>
      <c r="J59" s="2">
        <v>10</v>
      </c>
      <c r="K59" s="2">
        <v>8</v>
      </c>
      <c r="L59" s="2">
        <v>8.1</v>
      </c>
      <c r="M59" s="2">
        <v>8.2482000000000006</v>
      </c>
      <c r="N59" s="2">
        <v>8.3000000000000007</v>
      </c>
      <c r="O59" s="2">
        <v>8.5</v>
      </c>
      <c r="P59" s="2">
        <v>8.5</v>
      </c>
      <c r="Q59" s="1">
        <f t="shared" si="6"/>
        <v>8.19482</v>
      </c>
      <c r="R59" s="1">
        <f t="shared" si="7"/>
        <v>0.79825152151436574</v>
      </c>
      <c r="S59" s="1">
        <f>(Table_1[[#This Row],[Avg]]-$X$41)/$X$42</f>
        <v>-0.15102721910659342</v>
      </c>
      <c r="T59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3.9484657334238942</v>
      </c>
      <c r="U59" s="2">
        <f>_xlfn.RANK.EQ(Draft!Q59,Draft!$Q$41:$Q$72)</f>
        <v>19</v>
      </c>
    </row>
    <row r="60" spans="4:21" x14ac:dyDescent="0.25">
      <c r="D60" s="5">
        <f t="shared" si="4"/>
        <v>19</v>
      </c>
      <c r="E60" s="5" t="str">
        <f t="shared" si="5"/>
        <v>x</v>
      </c>
      <c r="F60" s="3" t="s">
        <v>26</v>
      </c>
      <c r="G60" s="2">
        <v>8</v>
      </c>
      <c r="H60" s="2">
        <v>8.1</v>
      </c>
      <c r="I60" s="2">
        <v>9</v>
      </c>
      <c r="J60" s="2">
        <v>10</v>
      </c>
      <c r="K60" s="2">
        <v>8</v>
      </c>
      <c r="L60" s="2">
        <v>7.5</v>
      </c>
      <c r="M60" s="2">
        <v>8.1046999999999993</v>
      </c>
      <c r="N60" s="2">
        <v>8</v>
      </c>
      <c r="O60" s="2">
        <v>7.5</v>
      </c>
      <c r="P60" s="2">
        <v>7.7</v>
      </c>
      <c r="Q60" s="1">
        <f t="shared" si="6"/>
        <v>8.1904700000000012</v>
      </c>
      <c r="R60" s="1">
        <f t="shared" si="7"/>
        <v>0.72444281216670237</v>
      </c>
      <c r="S60" s="1">
        <f>(Table_1[[#This Row],[Avg]]-$X$41)/$X$42</f>
        <v>-0.15323418095526817</v>
      </c>
      <c r="T60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2.8208297355078047</v>
      </c>
      <c r="U60" s="2">
        <f>_xlfn.RANK.EQ(Draft!Q60,Draft!$Q$41:$Q$72)</f>
        <v>20</v>
      </c>
    </row>
    <row r="61" spans="4:21" x14ac:dyDescent="0.25">
      <c r="D61" s="5">
        <f t="shared" si="4"/>
        <v>17</v>
      </c>
      <c r="E61" s="5" t="str">
        <f t="shared" si="5"/>
        <v>x</v>
      </c>
      <c r="F61" s="3" t="s">
        <v>32</v>
      </c>
      <c r="G61" s="2">
        <v>9</v>
      </c>
      <c r="H61" s="2">
        <v>8.1999999999999993</v>
      </c>
      <c r="I61" s="2">
        <v>9</v>
      </c>
      <c r="J61" s="2">
        <v>7</v>
      </c>
      <c r="K61" s="2">
        <v>7</v>
      </c>
      <c r="L61" s="2">
        <v>7.5</v>
      </c>
      <c r="M61" s="2">
        <v>8.0189000000000004</v>
      </c>
      <c r="N61" s="2">
        <v>8.1</v>
      </c>
      <c r="O61" s="2">
        <v>8.5</v>
      </c>
      <c r="P61" s="2">
        <v>8.1</v>
      </c>
      <c r="Q61" s="1">
        <f t="shared" si="6"/>
        <v>8.0418900000000004</v>
      </c>
      <c r="R61" s="1">
        <f t="shared" si="7"/>
        <v>0.67400367128080252</v>
      </c>
      <c r="S61" s="1">
        <f>(Table_1[[#This Row],[Avg]]-$X$41)/$X$42</f>
        <v>-0.22861588014519715</v>
      </c>
      <c r="T61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4.3296332526732497</v>
      </c>
      <c r="U61" s="2">
        <f>_xlfn.RANK.EQ(Draft!Q61,Draft!$Q$41:$Q$72)</f>
        <v>21</v>
      </c>
    </row>
    <row r="62" spans="4:21" x14ac:dyDescent="0.25">
      <c r="D62" s="5">
        <f t="shared" si="4"/>
        <v>24</v>
      </c>
      <c r="E62" s="5" t="str">
        <f t="shared" si="5"/>
        <v>x</v>
      </c>
      <c r="F62" s="3" t="s">
        <v>56</v>
      </c>
      <c r="G62" s="2">
        <v>7</v>
      </c>
      <c r="H62" s="2">
        <v>8.3000000000000007</v>
      </c>
      <c r="I62" s="2">
        <v>6</v>
      </c>
      <c r="J62" s="2">
        <v>9</v>
      </c>
      <c r="K62" s="2">
        <v>7</v>
      </c>
      <c r="L62" s="2">
        <v>8.1999999999999993</v>
      </c>
      <c r="M62" s="2">
        <v>7.8890000000000002</v>
      </c>
      <c r="N62" s="2">
        <v>8.5</v>
      </c>
      <c r="O62" s="2">
        <v>7.5</v>
      </c>
      <c r="P62" s="2">
        <v>8.5</v>
      </c>
      <c r="Q62" s="1">
        <f t="shared" si="6"/>
        <v>7.7889000000000008</v>
      </c>
      <c r="R62" s="1">
        <f t="shared" si="7"/>
        <v>0.86294199689201856</v>
      </c>
      <c r="S62" s="1">
        <f>(Table_1[[#This Row],[Avg]]-$X$41)/$X$42</f>
        <v>-0.35696973717884906</v>
      </c>
      <c r="T62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4.1803564309076373</v>
      </c>
      <c r="U62" s="2">
        <f>_xlfn.RANK.EQ(Draft!Q62,Draft!$Q$41:$Q$72)</f>
        <v>22</v>
      </c>
    </row>
    <row r="63" spans="4:21" x14ac:dyDescent="0.25">
      <c r="D63" s="5">
        <f t="shared" si="4"/>
        <v>25</v>
      </c>
      <c r="E63" s="5" t="str">
        <f t="shared" si="5"/>
        <v>x</v>
      </c>
      <c r="F63" s="3" t="s">
        <v>46</v>
      </c>
      <c r="G63" s="2">
        <v>7</v>
      </c>
      <c r="H63" s="2">
        <v>7.7</v>
      </c>
      <c r="I63" s="2">
        <v>8</v>
      </c>
      <c r="J63" s="2">
        <v>7</v>
      </c>
      <c r="K63" s="2">
        <v>6</v>
      </c>
      <c r="L63" s="2">
        <v>8.1999999999999993</v>
      </c>
      <c r="M63" s="2">
        <v>8.1506000000000007</v>
      </c>
      <c r="N63" s="2">
        <v>7.4</v>
      </c>
      <c r="O63" s="2">
        <v>7.5</v>
      </c>
      <c r="P63" s="2">
        <v>9.1999999999999993</v>
      </c>
      <c r="Q63" s="1">
        <f t="shared" si="6"/>
        <v>7.6150600000000015</v>
      </c>
      <c r="R63" s="1">
        <f t="shared" si="7"/>
        <v>0.81981048566115877</v>
      </c>
      <c r="S63" s="1">
        <f>(Table_1[[#This Row],[Avg]]-$X$41)/$X$42</f>
        <v>-0.44516703551763714</v>
      </c>
      <c r="T63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3.9564668915435224</v>
      </c>
      <c r="U63" s="2">
        <f>_xlfn.RANK.EQ(Draft!Q63,Draft!$Q$41:$Q$72)</f>
        <v>23</v>
      </c>
    </row>
    <row r="64" spans="4:21" x14ac:dyDescent="0.25">
      <c r="D64" s="5">
        <f t="shared" si="4"/>
        <v>23</v>
      </c>
      <c r="E64" s="5" t="str">
        <f t="shared" si="5"/>
        <v>x</v>
      </c>
      <c r="F64" s="3" t="s">
        <v>47</v>
      </c>
      <c r="G64" s="2">
        <v>6</v>
      </c>
      <c r="H64" s="2">
        <v>7.6</v>
      </c>
      <c r="I64" s="2">
        <v>9</v>
      </c>
      <c r="J64" s="2">
        <v>7</v>
      </c>
      <c r="K64" s="2">
        <v>6</v>
      </c>
      <c r="L64" s="2">
        <v>7.1</v>
      </c>
      <c r="M64" s="2">
        <v>7.1859000000000002</v>
      </c>
      <c r="N64" s="2">
        <v>6.9</v>
      </c>
      <c r="O64" s="2">
        <v>7.5</v>
      </c>
      <c r="P64" s="2">
        <v>5.6</v>
      </c>
      <c r="Q64" s="1">
        <f t="shared" si="6"/>
        <v>6.9885899999999994</v>
      </c>
      <c r="R64" s="1">
        <f t="shared" si="7"/>
        <v>0.92861493252047844</v>
      </c>
      <c r="S64" s="1">
        <f>(Table_1[[#This Row],[Avg]]-$X$41)/$X$42</f>
        <v>-0.76300505605549362</v>
      </c>
      <c r="T64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3.7886180250504773</v>
      </c>
      <c r="U64" s="2">
        <f>_xlfn.RANK.EQ(Draft!Q64,Draft!$Q$41:$Q$72)</f>
        <v>24</v>
      </c>
    </row>
    <row r="65" spans="4:21" x14ac:dyDescent="0.25">
      <c r="D65" s="5">
        <f t="shared" si="4"/>
        <v>27</v>
      </c>
      <c r="E65" s="5" t="str">
        <f t="shared" si="5"/>
        <v>x</v>
      </c>
      <c r="F65" s="3" t="s">
        <v>41</v>
      </c>
      <c r="G65" s="2">
        <v>8</v>
      </c>
      <c r="H65" s="2">
        <v>7.5</v>
      </c>
      <c r="I65" s="2">
        <v>7</v>
      </c>
      <c r="J65" s="2">
        <v>4</v>
      </c>
      <c r="K65" s="2">
        <v>6</v>
      </c>
      <c r="L65" s="2">
        <v>6.8</v>
      </c>
      <c r="M65" s="2">
        <v>7.6951000000000001</v>
      </c>
      <c r="N65" s="2">
        <v>7</v>
      </c>
      <c r="O65" s="2">
        <v>7.5</v>
      </c>
      <c r="P65" s="2">
        <v>6.8</v>
      </c>
      <c r="Q65" s="1">
        <f t="shared" si="6"/>
        <v>6.8295099999999991</v>
      </c>
      <c r="R65" s="1">
        <f t="shared" si="7"/>
        <v>1.0850113183280707</v>
      </c>
      <c r="S65" s="1">
        <f>(Table_1[[#This Row],[Avg]]-$X$41)/$X$42</f>
        <v>-0.84371390453532846</v>
      </c>
      <c r="T65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4.7073227605413939</v>
      </c>
      <c r="U65" s="2">
        <f>_xlfn.RANK.EQ(Draft!Q65,Draft!$Q$41:$Q$72)</f>
        <v>25</v>
      </c>
    </row>
    <row r="66" spans="4:21" x14ac:dyDescent="0.25">
      <c r="D66" s="5">
        <f t="shared" si="4"/>
        <v>20</v>
      </c>
      <c r="E66" s="5" t="str">
        <f t="shared" si="5"/>
        <v>x</v>
      </c>
      <c r="F66" s="3" t="s">
        <v>43</v>
      </c>
      <c r="G66" s="2">
        <v>8</v>
      </c>
      <c r="H66" s="2">
        <v>7.2</v>
      </c>
      <c r="I66" s="2">
        <v>6</v>
      </c>
      <c r="J66" s="2">
        <v>7</v>
      </c>
      <c r="K66" s="2">
        <v>6</v>
      </c>
      <c r="L66" s="2">
        <v>7.3</v>
      </c>
      <c r="M66" s="2">
        <v>7.4428999999999998</v>
      </c>
      <c r="N66" s="2">
        <v>5.7</v>
      </c>
      <c r="O66" s="2">
        <v>6.5</v>
      </c>
      <c r="P66" s="2">
        <v>6.1</v>
      </c>
      <c r="Q66" s="1">
        <f t="shared" si="6"/>
        <v>6.7242900000000008</v>
      </c>
      <c r="R66" s="1">
        <f t="shared" si="7"/>
        <v>0.72910907064717712</v>
      </c>
      <c r="S66" s="1">
        <f>(Table_1[[#This Row],[Avg]]-$X$41)/$X$42</f>
        <v>-0.89709701389570107</v>
      </c>
      <c r="T66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3.8327129743878143</v>
      </c>
      <c r="U66" s="2">
        <f>_xlfn.RANK.EQ(Draft!Q66,Draft!$Q$41:$Q$72)</f>
        <v>26</v>
      </c>
    </row>
    <row r="67" spans="4:21" x14ac:dyDescent="0.25">
      <c r="D67" s="5">
        <f t="shared" si="4"/>
        <v>28</v>
      </c>
      <c r="E67" s="5" t="str">
        <f t="shared" si="5"/>
        <v>x</v>
      </c>
      <c r="F67" s="3" t="s">
        <v>50</v>
      </c>
      <c r="G67" s="2">
        <v>7</v>
      </c>
      <c r="H67" s="2">
        <v>7.2</v>
      </c>
      <c r="I67" s="2">
        <v>6</v>
      </c>
      <c r="J67" s="2">
        <v>5</v>
      </c>
      <c r="K67" s="2">
        <v>7</v>
      </c>
      <c r="L67" s="2">
        <v>5.9</v>
      </c>
      <c r="M67" s="2">
        <v>7.2244999999999999</v>
      </c>
      <c r="N67" s="2">
        <v>6.4</v>
      </c>
      <c r="O67" s="2">
        <v>6.5</v>
      </c>
      <c r="P67" s="2">
        <v>5</v>
      </c>
      <c r="Q67" s="1">
        <f t="shared" si="6"/>
        <v>6.3224499999999999</v>
      </c>
      <c r="R67" s="1">
        <f t="shared" si="7"/>
        <v>0.79496290636733236</v>
      </c>
      <c r="S67" s="1">
        <f>(Table_1[[#This Row],[Avg]]-$X$41)/$X$42</f>
        <v>-1.1009695539581654</v>
      </c>
      <c r="T67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3.9446088105270229</v>
      </c>
      <c r="U67" s="2">
        <f>_xlfn.RANK.EQ(Draft!Q67,Draft!$Q$41:$Q$72)</f>
        <v>27</v>
      </c>
    </row>
    <row r="68" spans="4:21" x14ac:dyDescent="0.25">
      <c r="D68" s="5">
        <f t="shared" si="4"/>
        <v>26</v>
      </c>
      <c r="E68" s="5" t="str">
        <f t="shared" si="5"/>
        <v>x</v>
      </c>
      <c r="F68" s="3" t="s">
        <v>42</v>
      </c>
      <c r="G68" s="2">
        <v>5</v>
      </c>
      <c r="H68" s="2">
        <v>6.8</v>
      </c>
      <c r="I68" s="2">
        <v>6</v>
      </c>
      <c r="J68" s="2">
        <v>5</v>
      </c>
      <c r="K68" s="2">
        <v>6</v>
      </c>
      <c r="L68" s="2">
        <v>6.8</v>
      </c>
      <c r="M68" s="2">
        <v>7.1441999999999997</v>
      </c>
      <c r="N68" s="2">
        <v>6.2</v>
      </c>
      <c r="O68" s="2">
        <v>6.5</v>
      </c>
      <c r="P68" s="2">
        <v>6.3</v>
      </c>
      <c r="Q68" s="1">
        <f t="shared" si="6"/>
        <v>6.1744199999999996</v>
      </c>
      <c r="R68" s="1">
        <f t="shared" si="7"/>
        <v>0.68300587669507473</v>
      </c>
      <c r="S68" s="1">
        <f>(Table_1[[#This Row],[Avg]]-$X$41)/$X$42</f>
        <v>-1.1760722119948135</v>
      </c>
      <c r="T68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3.9869441527500302</v>
      </c>
      <c r="U68" s="2">
        <f>_xlfn.RANK.EQ(Draft!Q68,Draft!$Q$41:$Q$72)</f>
        <v>28</v>
      </c>
    </row>
    <row r="69" spans="4:21" x14ac:dyDescent="0.25">
      <c r="D69" s="5">
        <f t="shared" si="4"/>
        <v>29</v>
      </c>
      <c r="E69" s="5" t="str">
        <f t="shared" si="5"/>
        <v>x</v>
      </c>
      <c r="F69" s="3" t="s">
        <v>30</v>
      </c>
      <c r="G69" s="2">
        <v>5</v>
      </c>
      <c r="H69" s="2">
        <v>6.6</v>
      </c>
      <c r="I69" s="2">
        <v>5</v>
      </c>
      <c r="J69" s="2">
        <v>8</v>
      </c>
      <c r="K69" s="2">
        <v>7</v>
      </c>
      <c r="L69" s="2">
        <v>6</v>
      </c>
      <c r="M69" s="2">
        <v>7.0529999999999999</v>
      </c>
      <c r="N69" s="2">
        <v>6.4</v>
      </c>
      <c r="O69" s="2">
        <v>5.5</v>
      </c>
      <c r="P69" s="2">
        <v>5</v>
      </c>
      <c r="Q69" s="1">
        <f t="shared" si="6"/>
        <v>6.1552999999999995</v>
      </c>
      <c r="R69" s="1">
        <f t="shared" si="7"/>
        <v>0.98171422012722365</v>
      </c>
      <c r="S69" s="1">
        <f>(Table_1[[#This Row],[Avg]]-$X$41)/$X$42</f>
        <v>-1.1857726971779567</v>
      </c>
      <c r="T69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3.6546615329561432</v>
      </c>
      <c r="U69" s="2">
        <f>_xlfn.RANK.EQ(Draft!Q69,Draft!$Q$41:$Q$72)</f>
        <v>29</v>
      </c>
    </row>
    <row r="70" spans="4:21" x14ac:dyDescent="0.25">
      <c r="D70" s="5">
        <f t="shared" si="4"/>
        <v>30</v>
      </c>
      <c r="E70" s="5" t="str">
        <f t="shared" si="5"/>
        <v>x</v>
      </c>
      <c r="F70" s="3" t="s">
        <v>53</v>
      </c>
      <c r="G70" s="2">
        <v>4</v>
      </c>
      <c r="H70" s="2">
        <v>6.9</v>
      </c>
      <c r="I70" s="2">
        <v>8</v>
      </c>
      <c r="J70" s="2">
        <v>6</v>
      </c>
      <c r="K70" s="2">
        <v>6</v>
      </c>
      <c r="L70" s="2">
        <v>6.7</v>
      </c>
      <c r="M70" s="2">
        <v>7.1874000000000002</v>
      </c>
      <c r="N70" s="2">
        <v>5.8</v>
      </c>
      <c r="O70" s="2">
        <v>6.5</v>
      </c>
      <c r="P70" s="2">
        <v>4.3</v>
      </c>
      <c r="Q70" s="1">
        <f t="shared" si="6"/>
        <v>6.1387400000000003</v>
      </c>
      <c r="R70" s="1">
        <f t="shared" si="7"/>
        <v>1.1703602387299394</v>
      </c>
      <c r="S70" s="1">
        <f>(Table_1[[#This Row],[Avg]]-$X$41)/$X$42</f>
        <v>-1.1941743726294654</v>
      </c>
      <c r="T70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3.856157015836275</v>
      </c>
      <c r="U70" s="2">
        <f>_xlfn.RANK.EQ(Draft!Q70,Draft!$Q$41:$Q$72)</f>
        <v>30</v>
      </c>
    </row>
    <row r="71" spans="4:21" x14ac:dyDescent="0.25">
      <c r="D71" s="5" t="str">
        <f t="shared" si="4"/>
        <v/>
      </c>
      <c r="E71" s="5" t="str">
        <f t="shared" si="5"/>
        <v/>
      </c>
      <c r="F71" s="3" t="s">
        <v>54</v>
      </c>
      <c r="G71" s="2">
        <v>3</v>
      </c>
      <c r="H71" s="2">
        <v>6.6</v>
      </c>
      <c r="I71" s="2">
        <v>4</v>
      </c>
      <c r="J71" s="2">
        <v>5</v>
      </c>
      <c r="K71" s="2">
        <v>4</v>
      </c>
      <c r="L71" s="2">
        <v>6.4</v>
      </c>
      <c r="M71" s="2">
        <v>6.6052</v>
      </c>
      <c r="N71" s="2">
        <v>4.9000000000000004</v>
      </c>
      <c r="O71" s="2">
        <v>5.5</v>
      </c>
      <c r="P71" s="2">
        <v>7</v>
      </c>
      <c r="Q71" s="1">
        <f t="shared" si="6"/>
        <v>5.3005199999999997</v>
      </c>
      <c r="R71" s="1">
        <f t="shared" si="7"/>
        <v>1.2827136989991199</v>
      </c>
      <c r="S71" s="1">
        <f>(Table_1[[#This Row],[Avg]]-$X$41)/$X$42</f>
        <v>-1.6194432371804277</v>
      </c>
      <c r="T71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3.5333951830957915</v>
      </c>
      <c r="U71" s="2">
        <f>_xlfn.RANK.EQ(Draft!Q71,Draft!$Q$41:$Q$72)</f>
        <v>31</v>
      </c>
    </row>
    <row r="72" spans="4:21" x14ac:dyDescent="0.25">
      <c r="D72" s="5" t="str">
        <f t="shared" si="4"/>
        <v/>
      </c>
      <c r="E72" s="5" t="str">
        <f t="shared" si="5"/>
        <v/>
      </c>
      <c r="F72" s="3" t="s">
        <v>45</v>
      </c>
      <c r="G72" s="2">
        <v>4</v>
      </c>
      <c r="H72" s="2">
        <v>5.7</v>
      </c>
      <c r="I72" s="2">
        <v>4</v>
      </c>
      <c r="J72" s="2">
        <v>5</v>
      </c>
      <c r="K72" s="2">
        <v>3</v>
      </c>
      <c r="L72" s="2">
        <v>6.7</v>
      </c>
      <c r="M72" s="2">
        <v>6.4973999999999998</v>
      </c>
      <c r="N72" s="2">
        <v>4.7</v>
      </c>
      <c r="O72" s="2">
        <v>4.5</v>
      </c>
      <c r="P72" s="2">
        <v>4.9000000000000004</v>
      </c>
      <c r="Q72" s="1">
        <f t="shared" si="6"/>
        <v>4.8997399999999995</v>
      </c>
      <c r="R72" s="1">
        <f t="shared" si="7"/>
        <v>1.0895726723812424</v>
      </c>
      <c r="S72" s="1">
        <f>(Table_1[[#This Row],[Avg]]-$X$41)/$X$42</f>
        <v>-1.822777988838387</v>
      </c>
      <c r="T72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3.0737656642171647</v>
      </c>
      <c r="U72" s="2">
        <f>_xlfn.RANK.EQ(Draft!Q72,Draft!$Q$41:$Q$72)</f>
        <v>32</v>
      </c>
    </row>
    <row r="73" spans="4:21" ht="15.75" customHeight="1" x14ac:dyDescent="0.25">
      <c r="Q73" s="1"/>
      <c r="R73" s="1"/>
      <c r="S73" s="1"/>
      <c r="T73" s="1"/>
    </row>
    <row r="74" spans="4:21" ht="15.75" customHeight="1" x14ac:dyDescent="0.25">
      <c r="Q74" s="1"/>
      <c r="R74" s="1"/>
      <c r="S74" s="1"/>
      <c r="T74" s="1"/>
    </row>
    <row r="75" spans="4:21" ht="15.75" customHeight="1" x14ac:dyDescent="0.25">
      <c r="Q75" s="1"/>
      <c r="R75" s="1"/>
      <c r="S75" s="1"/>
      <c r="T75" s="1"/>
    </row>
    <row r="76" spans="4:21" ht="15.75" customHeight="1" x14ac:dyDescent="0.25">
      <c r="Q76" s="1"/>
      <c r="R76" s="1"/>
      <c r="S76" s="1"/>
      <c r="T76" s="1"/>
    </row>
    <row r="77" spans="4:21" ht="15.75" customHeight="1" x14ac:dyDescent="0.25">
      <c r="F77" s="2" t="s">
        <v>60</v>
      </c>
      <c r="Q77" s="1"/>
      <c r="R77" s="1"/>
      <c r="S77" s="1"/>
      <c r="T77" s="1"/>
    </row>
    <row r="78" spans="4:21" ht="15.75" customHeight="1" x14ac:dyDescent="0.25">
      <c r="F78" s="2" t="s">
        <v>61</v>
      </c>
      <c r="Q78" s="1"/>
      <c r="R78" s="1"/>
      <c r="S78" s="1"/>
      <c r="T78" s="1"/>
    </row>
    <row r="79" spans="4:21" ht="15.75" customHeight="1" x14ac:dyDescent="0.25">
      <c r="F79" s="2" t="s">
        <v>62</v>
      </c>
      <c r="Q79" s="1"/>
      <c r="R79" s="1"/>
      <c r="S79" s="1"/>
      <c r="T79" s="1"/>
    </row>
    <row r="80" spans="4:21" ht="15.75" customHeight="1" x14ac:dyDescent="0.25">
      <c r="F80" s="2" t="s">
        <v>63</v>
      </c>
      <c r="Q80" s="1"/>
      <c r="R80" s="1"/>
      <c r="S80" s="1"/>
      <c r="T80" s="1"/>
    </row>
    <row r="81" spans="6:20" ht="15.75" customHeight="1" x14ac:dyDescent="0.25">
      <c r="F81" s="7" t="s">
        <v>64</v>
      </c>
      <c r="Q81" s="1"/>
      <c r="R81" s="1"/>
      <c r="S81" s="1"/>
      <c r="T81" s="1"/>
    </row>
    <row r="82" spans="6:20" ht="15.75" customHeight="1" x14ac:dyDescent="0.25">
      <c r="F82" s="7" t="s">
        <v>65</v>
      </c>
      <c r="Q82" s="1"/>
      <c r="R82" s="1"/>
      <c r="S82" s="1"/>
      <c r="T82" s="1"/>
    </row>
    <row r="83" spans="6:20" ht="15.75" customHeight="1" x14ac:dyDescent="0.25">
      <c r="Q83" s="1"/>
      <c r="R83" s="1"/>
      <c r="S83" s="1"/>
      <c r="T83" s="1"/>
    </row>
    <row r="84" spans="6:20" ht="15.75" customHeight="1" x14ac:dyDescent="0.25">
      <c r="Q84" s="1"/>
      <c r="R84" s="1"/>
      <c r="S84" s="1"/>
      <c r="T84" s="1"/>
    </row>
    <row r="85" spans="6:20" ht="15.75" customHeight="1" x14ac:dyDescent="0.25">
      <c r="Q85" s="1"/>
      <c r="R85" s="1"/>
      <c r="S85" s="1"/>
      <c r="T85" s="1"/>
    </row>
    <row r="86" spans="6:20" ht="15.75" customHeight="1" x14ac:dyDescent="0.25">
      <c r="Q86" s="1"/>
      <c r="R86" s="1"/>
      <c r="S86" s="1"/>
      <c r="T86" s="1"/>
    </row>
    <row r="87" spans="6:20" ht="15.75" customHeight="1" x14ac:dyDescent="0.25">
      <c r="Q87" s="1"/>
      <c r="R87" s="1"/>
      <c r="S87" s="1"/>
      <c r="T87" s="1"/>
    </row>
    <row r="88" spans="6:20" ht="15.75" customHeight="1" x14ac:dyDescent="0.25">
      <c r="Q88" s="1"/>
      <c r="R88" s="1"/>
      <c r="S88" s="1"/>
      <c r="T88" s="1"/>
    </row>
    <row r="89" spans="6:20" ht="15.75" customHeight="1" x14ac:dyDescent="0.25">
      <c r="Q89" s="1"/>
      <c r="R89" s="1"/>
      <c r="S89" s="1"/>
      <c r="T89" s="1"/>
    </row>
    <row r="90" spans="6:20" ht="15.75" customHeight="1" x14ac:dyDescent="0.25">
      <c r="Q90" s="1"/>
      <c r="R90" s="1"/>
      <c r="S90" s="1"/>
      <c r="T90" s="1"/>
    </row>
    <row r="91" spans="6:20" ht="15.75" customHeight="1" x14ac:dyDescent="0.25">
      <c r="Q91" s="1"/>
      <c r="R91" s="1"/>
      <c r="S91" s="1"/>
      <c r="T91" s="1"/>
    </row>
    <row r="92" spans="6:20" ht="15.75" customHeight="1" x14ac:dyDescent="0.25">
      <c r="Q92" s="1"/>
      <c r="R92" s="1"/>
      <c r="S92" s="1"/>
      <c r="T92" s="1"/>
    </row>
    <row r="93" spans="6:20" ht="15.75" customHeight="1" x14ac:dyDescent="0.25">
      <c r="Q93" s="1"/>
      <c r="R93" s="1"/>
      <c r="S93" s="1"/>
      <c r="T93" s="1"/>
    </row>
    <row r="94" spans="6:20" ht="15.75" customHeight="1" x14ac:dyDescent="0.25">
      <c r="Q94" s="1"/>
      <c r="R94" s="1"/>
      <c r="S94" s="1"/>
      <c r="T94" s="1"/>
    </row>
    <row r="95" spans="6:20" ht="15.75" customHeight="1" x14ac:dyDescent="0.25">
      <c r="Q95" s="1"/>
      <c r="R95" s="1"/>
      <c r="S95" s="1"/>
      <c r="T95" s="1"/>
    </row>
    <row r="96" spans="6:20" ht="15.75" customHeight="1" x14ac:dyDescent="0.25">
      <c r="Q96" s="1"/>
      <c r="R96" s="1"/>
      <c r="S96" s="1"/>
      <c r="T96" s="1"/>
    </row>
    <row r="97" spans="17:20" ht="15.75" customHeight="1" x14ac:dyDescent="0.25">
      <c r="Q97" s="1"/>
      <c r="R97" s="1"/>
      <c r="S97" s="1"/>
      <c r="T97" s="1"/>
    </row>
    <row r="98" spans="17:20" ht="15.75" customHeight="1" x14ac:dyDescent="0.25">
      <c r="Q98" s="1"/>
      <c r="R98" s="1"/>
      <c r="S98" s="1"/>
      <c r="T98" s="1"/>
    </row>
    <row r="99" spans="17:20" ht="15.75" customHeight="1" x14ac:dyDescent="0.25">
      <c r="Q99" s="1"/>
      <c r="R99" s="1"/>
      <c r="S99" s="1"/>
      <c r="T99" s="1"/>
    </row>
    <row r="100" spans="17:20" ht="15.75" customHeight="1" x14ac:dyDescent="0.25">
      <c r="Q100" s="1"/>
      <c r="R100" s="1"/>
      <c r="S100" s="1"/>
      <c r="T100" s="1"/>
    </row>
    <row r="101" spans="17:20" ht="15.75" customHeight="1" x14ac:dyDescent="0.25">
      <c r="Q101" s="1"/>
      <c r="R101" s="1"/>
      <c r="S101" s="1"/>
      <c r="T101" s="1"/>
    </row>
    <row r="102" spans="17:20" ht="15.75" customHeight="1" x14ac:dyDescent="0.25">
      <c r="Q102" s="1"/>
      <c r="R102" s="1"/>
      <c r="S102" s="1"/>
      <c r="T102" s="1"/>
    </row>
    <row r="103" spans="17:20" ht="15.75" customHeight="1" x14ac:dyDescent="0.25">
      <c r="Q103" s="1"/>
      <c r="R103" s="1"/>
      <c r="S103" s="1"/>
      <c r="T103" s="1"/>
    </row>
    <row r="104" spans="17:20" ht="15.75" customHeight="1" x14ac:dyDescent="0.25">
      <c r="Q104" s="1"/>
      <c r="R104" s="1"/>
      <c r="S104" s="1"/>
      <c r="T104" s="1"/>
    </row>
    <row r="105" spans="17:20" ht="15.75" customHeight="1" x14ac:dyDescent="0.25">
      <c r="Q105" s="1"/>
      <c r="R105" s="1"/>
      <c r="S105" s="1"/>
      <c r="T105" s="1"/>
    </row>
    <row r="106" spans="17:20" ht="15.75" customHeight="1" x14ac:dyDescent="0.25">
      <c r="Q106" s="1"/>
      <c r="R106" s="1"/>
      <c r="S106" s="1"/>
      <c r="T106" s="1"/>
    </row>
    <row r="107" spans="17:20" ht="15.75" customHeight="1" x14ac:dyDescent="0.25">
      <c r="Q107" s="1"/>
      <c r="R107" s="1"/>
      <c r="S107" s="1"/>
      <c r="T107" s="1"/>
    </row>
    <row r="108" spans="17:20" ht="15.75" customHeight="1" x14ac:dyDescent="0.25">
      <c r="Q108" s="1"/>
      <c r="R108" s="1"/>
      <c r="S108" s="1"/>
      <c r="T108" s="1"/>
    </row>
    <row r="109" spans="17:20" ht="15.75" customHeight="1" x14ac:dyDescent="0.25">
      <c r="Q109" s="1"/>
      <c r="R109" s="1"/>
      <c r="S109" s="1"/>
      <c r="T109" s="1"/>
    </row>
    <row r="110" spans="17:20" ht="15.75" customHeight="1" x14ac:dyDescent="0.25">
      <c r="Q110" s="1"/>
      <c r="R110" s="1"/>
      <c r="S110" s="1"/>
      <c r="T110" s="1"/>
    </row>
    <row r="111" spans="17:20" ht="15.75" customHeight="1" x14ac:dyDescent="0.25">
      <c r="Q111" s="1"/>
      <c r="R111" s="1"/>
      <c r="S111" s="1"/>
      <c r="T111" s="1"/>
    </row>
    <row r="112" spans="17:20" ht="15.75" customHeight="1" x14ac:dyDescent="0.25">
      <c r="Q112" s="1"/>
      <c r="R112" s="1"/>
      <c r="S112" s="1"/>
      <c r="T112" s="1"/>
    </row>
    <row r="113" spans="17:20" ht="15.75" customHeight="1" x14ac:dyDescent="0.25">
      <c r="Q113" s="1"/>
      <c r="R113" s="1"/>
      <c r="S113" s="1"/>
      <c r="T113" s="1"/>
    </row>
    <row r="114" spans="17:20" ht="15.75" customHeight="1" x14ac:dyDescent="0.25">
      <c r="Q114" s="1"/>
      <c r="R114" s="1"/>
      <c r="S114" s="1"/>
      <c r="T114" s="1"/>
    </row>
    <row r="115" spans="17:20" ht="15.75" customHeight="1" x14ac:dyDescent="0.25">
      <c r="Q115" s="1"/>
      <c r="R115" s="1"/>
      <c r="S115" s="1"/>
      <c r="T115" s="1"/>
    </row>
    <row r="116" spans="17:20" ht="15.75" customHeight="1" x14ac:dyDescent="0.25">
      <c r="Q116" s="1"/>
      <c r="R116" s="1"/>
      <c r="S116" s="1"/>
      <c r="T116" s="1"/>
    </row>
    <row r="117" spans="17:20" ht="15.75" customHeight="1" x14ac:dyDescent="0.25">
      <c r="Q117" s="1"/>
      <c r="R117" s="1"/>
      <c r="S117" s="1"/>
      <c r="T117" s="1"/>
    </row>
    <row r="118" spans="17:20" ht="15.75" customHeight="1" x14ac:dyDescent="0.25">
      <c r="Q118" s="1"/>
      <c r="R118" s="1"/>
      <c r="S118" s="1"/>
      <c r="T118" s="1"/>
    </row>
    <row r="119" spans="17:20" ht="15.75" customHeight="1" x14ac:dyDescent="0.25">
      <c r="Q119" s="1"/>
      <c r="R119" s="1"/>
      <c r="S119" s="1"/>
      <c r="T119" s="1"/>
    </row>
    <row r="120" spans="17:20" ht="15.75" customHeight="1" x14ac:dyDescent="0.25">
      <c r="Q120" s="1"/>
      <c r="R120" s="1"/>
      <c r="S120" s="1"/>
      <c r="T120" s="1"/>
    </row>
    <row r="121" spans="17:20" ht="15.75" customHeight="1" x14ac:dyDescent="0.25">
      <c r="Q121" s="1"/>
      <c r="R121" s="1"/>
      <c r="S121" s="1"/>
      <c r="T121" s="1"/>
    </row>
    <row r="122" spans="17:20" ht="15.75" customHeight="1" x14ac:dyDescent="0.25">
      <c r="Q122" s="1"/>
      <c r="R122" s="1"/>
      <c r="S122" s="1"/>
      <c r="T122" s="1"/>
    </row>
    <row r="123" spans="17:20" ht="15.75" customHeight="1" x14ac:dyDescent="0.25">
      <c r="Q123" s="1"/>
      <c r="R123" s="1"/>
      <c r="S123" s="1"/>
      <c r="T123" s="1"/>
    </row>
    <row r="124" spans="17:20" ht="15.75" customHeight="1" x14ac:dyDescent="0.25">
      <c r="Q124" s="1"/>
      <c r="R124" s="1"/>
      <c r="S124" s="1"/>
      <c r="T124" s="1"/>
    </row>
    <row r="125" spans="17:20" ht="15.75" customHeight="1" x14ac:dyDescent="0.25">
      <c r="Q125" s="1"/>
      <c r="R125" s="1"/>
      <c r="S125" s="1"/>
      <c r="T125" s="1"/>
    </row>
    <row r="126" spans="17:20" ht="15.75" customHeight="1" x14ac:dyDescent="0.25">
      <c r="Q126" s="1"/>
      <c r="R126" s="1"/>
      <c r="S126" s="1"/>
      <c r="T126" s="1"/>
    </row>
    <row r="127" spans="17:20" ht="15.75" customHeight="1" x14ac:dyDescent="0.25">
      <c r="Q127" s="1"/>
      <c r="R127" s="1"/>
      <c r="S127" s="1"/>
      <c r="T127" s="1"/>
    </row>
    <row r="128" spans="17:20" ht="15.75" customHeight="1" x14ac:dyDescent="0.25">
      <c r="Q128" s="1"/>
      <c r="R128" s="1"/>
      <c r="S128" s="1"/>
      <c r="T128" s="1"/>
    </row>
    <row r="129" spans="17:20" ht="15.75" customHeight="1" x14ac:dyDescent="0.25">
      <c r="Q129" s="1"/>
      <c r="R129" s="1"/>
      <c r="S129" s="1"/>
      <c r="T129" s="1"/>
    </row>
    <row r="130" spans="17:20" ht="15.75" customHeight="1" x14ac:dyDescent="0.25">
      <c r="Q130" s="1"/>
      <c r="R130" s="1"/>
      <c r="S130" s="1"/>
      <c r="T130" s="1"/>
    </row>
    <row r="131" spans="17:20" ht="15.75" customHeight="1" x14ac:dyDescent="0.25">
      <c r="Q131" s="1"/>
      <c r="R131" s="1"/>
      <c r="S131" s="1"/>
      <c r="T131" s="1"/>
    </row>
    <row r="132" spans="17:20" ht="15.75" customHeight="1" x14ac:dyDescent="0.25">
      <c r="Q132" s="1"/>
      <c r="R132" s="1"/>
      <c r="S132" s="1"/>
      <c r="T132" s="1"/>
    </row>
    <row r="133" spans="17:20" ht="15.75" customHeight="1" x14ac:dyDescent="0.25">
      <c r="Q133" s="1"/>
      <c r="R133" s="1"/>
      <c r="S133" s="1"/>
      <c r="T133" s="1"/>
    </row>
    <row r="134" spans="17:20" ht="15.75" customHeight="1" x14ac:dyDescent="0.25">
      <c r="Q134" s="1"/>
      <c r="R134" s="1"/>
      <c r="S134" s="1"/>
      <c r="T134" s="1"/>
    </row>
    <row r="135" spans="17:20" ht="15.75" customHeight="1" x14ac:dyDescent="0.25">
      <c r="Q135" s="1"/>
      <c r="R135" s="1"/>
      <c r="S135" s="1"/>
      <c r="T135" s="1"/>
    </row>
    <row r="136" spans="17:20" ht="15.75" customHeight="1" x14ac:dyDescent="0.25">
      <c r="Q136" s="1"/>
      <c r="R136" s="1"/>
      <c r="S136" s="1"/>
      <c r="T136" s="1"/>
    </row>
    <row r="137" spans="17:20" ht="15.75" customHeight="1" x14ac:dyDescent="0.25">
      <c r="Q137" s="1"/>
      <c r="R137" s="1"/>
      <c r="S137" s="1"/>
      <c r="T137" s="1"/>
    </row>
    <row r="138" spans="17:20" ht="15.75" customHeight="1" x14ac:dyDescent="0.25">
      <c r="Q138" s="1"/>
      <c r="R138" s="1"/>
      <c r="S138" s="1"/>
      <c r="T138" s="1"/>
    </row>
    <row r="139" spans="17:20" ht="15.75" customHeight="1" x14ac:dyDescent="0.25">
      <c r="Q139" s="1"/>
      <c r="R139" s="1"/>
      <c r="S139" s="1"/>
      <c r="T139" s="1"/>
    </row>
    <row r="140" spans="17:20" ht="15.75" customHeight="1" x14ac:dyDescent="0.25">
      <c r="Q140" s="1"/>
      <c r="R140" s="1"/>
      <c r="S140" s="1"/>
      <c r="T140" s="1"/>
    </row>
    <row r="141" spans="17:20" ht="15.75" customHeight="1" x14ac:dyDescent="0.25">
      <c r="Q141" s="1"/>
      <c r="R141" s="1"/>
      <c r="S141" s="1"/>
      <c r="T141" s="1"/>
    </row>
    <row r="142" spans="17:20" ht="15.75" customHeight="1" x14ac:dyDescent="0.25">
      <c r="Q142" s="1"/>
      <c r="R142" s="1"/>
      <c r="S142" s="1"/>
      <c r="T142" s="1"/>
    </row>
    <row r="143" spans="17:20" ht="15.75" customHeight="1" x14ac:dyDescent="0.25">
      <c r="Q143" s="1"/>
      <c r="R143" s="1"/>
      <c r="S143" s="1"/>
      <c r="T143" s="1"/>
    </row>
    <row r="144" spans="17:20" ht="15.75" customHeight="1" x14ac:dyDescent="0.25">
      <c r="Q144" s="1"/>
      <c r="R144" s="1"/>
      <c r="S144" s="1"/>
      <c r="T144" s="1"/>
    </row>
    <row r="145" spans="17:20" ht="15.75" customHeight="1" x14ac:dyDescent="0.25">
      <c r="Q145" s="1"/>
      <c r="R145" s="1"/>
      <c r="S145" s="1"/>
      <c r="T145" s="1"/>
    </row>
    <row r="146" spans="17:20" ht="15.75" customHeight="1" x14ac:dyDescent="0.25">
      <c r="Q146" s="1"/>
      <c r="R146" s="1"/>
      <c r="S146" s="1"/>
      <c r="T146" s="1"/>
    </row>
    <row r="147" spans="17:20" ht="15.75" customHeight="1" x14ac:dyDescent="0.25">
      <c r="Q147" s="1"/>
      <c r="R147" s="1"/>
      <c r="S147" s="1"/>
      <c r="T147" s="1"/>
    </row>
    <row r="148" spans="17:20" ht="15.75" customHeight="1" x14ac:dyDescent="0.25">
      <c r="Q148" s="1"/>
      <c r="R148" s="1"/>
      <c r="S148" s="1"/>
      <c r="T148" s="1"/>
    </row>
    <row r="149" spans="17:20" ht="15.75" customHeight="1" x14ac:dyDescent="0.25">
      <c r="Q149" s="1"/>
      <c r="R149" s="1"/>
      <c r="S149" s="1"/>
      <c r="T149" s="1"/>
    </row>
    <row r="150" spans="17:20" ht="15.75" customHeight="1" x14ac:dyDescent="0.25">
      <c r="Q150" s="1"/>
      <c r="R150" s="1"/>
      <c r="S150" s="1"/>
      <c r="T150" s="1"/>
    </row>
    <row r="151" spans="17:20" ht="15.75" customHeight="1" x14ac:dyDescent="0.25">
      <c r="Q151" s="1"/>
      <c r="R151" s="1"/>
      <c r="S151" s="1"/>
      <c r="T151" s="1"/>
    </row>
    <row r="152" spans="17:20" ht="15.75" customHeight="1" x14ac:dyDescent="0.25">
      <c r="Q152" s="1"/>
      <c r="R152" s="1"/>
      <c r="S152" s="1"/>
      <c r="T152" s="1"/>
    </row>
    <row r="153" spans="17:20" ht="15.75" customHeight="1" x14ac:dyDescent="0.25">
      <c r="Q153" s="1"/>
      <c r="R153" s="1"/>
      <c r="S153" s="1"/>
      <c r="T153" s="1"/>
    </row>
    <row r="154" spans="17:20" ht="15.75" customHeight="1" x14ac:dyDescent="0.25">
      <c r="Q154" s="1"/>
      <c r="R154" s="1"/>
      <c r="S154" s="1"/>
      <c r="T154" s="1"/>
    </row>
    <row r="155" spans="17:20" ht="15.75" customHeight="1" x14ac:dyDescent="0.25">
      <c r="Q155" s="1"/>
      <c r="R155" s="1"/>
      <c r="S155" s="1"/>
      <c r="T155" s="1"/>
    </row>
    <row r="156" spans="17:20" ht="15.75" customHeight="1" x14ac:dyDescent="0.25">
      <c r="Q156" s="1"/>
      <c r="R156" s="1"/>
      <c r="S156" s="1"/>
      <c r="T156" s="1"/>
    </row>
    <row r="157" spans="17:20" ht="15.75" customHeight="1" x14ac:dyDescent="0.25">
      <c r="Q157" s="1"/>
      <c r="R157" s="1"/>
      <c r="S157" s="1"/>
      <c r="T157" s="1"/>
    </row>
    <row r="158" spans="17:20" ht="15.75" customHeight="1" x14ac:dyDescent="0.25">
      <c r="Q158" s="1"/>
      <c r="R158" s="1"/>
      <c r="S158" s="1"/>
      <c r="T158" s="1"/>
    </row>
    <row r="159" spans="17:20" ht="15.75" customHeight="1" x14ac:dyDescent="0.25">
      <c r="Q159" s="1"/>
      <c r="R159" s="1"/>
      <c r="S159" s="1"/>
      <c r="T159" s="1"/>
    </row>
    <row r="160" spans="17:20" ht="15.75" customHeight="1" x14ac:dyDescent="0.25">
      <c r="Q160" s="1"/>
      <c r="R160" s="1"/>
      <c r="S160" s="1"/>
      <c r="T160" s="1"/>
    </row>
    <row r="161" spans="17:20" ht="15.75" customHeight="1" x14ac:dyDescent="0.25">
      <c r="Q161" s="1"/>
      <c r="R161" s="1"/>
      <c r="S161" s="1"/>
      <c r="T161" s="1"/>
    </row>
    <row r="162" spans="17:20" ht="15.75" customHeight="1" x14ac:dyDescent="0.25">
      <c r="Q162" s="1"/>
      <c r="R162" s="1"/>
      <c r="S162" s="1"/>
      <c r="T162" s="1"/>
    </row>
    <row r="163" spans="17:20" ht="15.75" customHeight="1" x14ac:dyDescent="0.25">
      <c r="Q163" s="1"/>
      <c r="R163" s="1"/>
      <c r="S163" s="1"/>
      <c r="T163" s="1"/>
    </row>
    <row r="164" spans="17:20" ht="15.75" customHeight="1" x14ac:dyDescent="0.25">
      <c r="Q164" s="1"/>
      <c r="R164" s="1"/>
      <c r="S164" s="1"/>
      <c r="T164" s="1"/>
    </row>
    <row r="165" spans="17:20" ht="15.75" customHeight="1" x14ac:dyDescent="0.25">
      <c r="Q165" s="1"/>
      <c r="R165" s="1"/>
      <c r="S165" s="1"/>
      <c r="T165" s="1"/>
    </row>
    <row r="166" spans="17:20" ht="15.75" customHeight="1" x14ac:dyDescent="0.25">
      <c r="Q166" s="1"/>
      <c r="R166" s="1"/>
      <c r="S166" s="1"/>
      <c r="T166" s="1"/>
    </row>
    <row r="167" spans="17:20" ht="15.75" customHeight="1" x14ac:dyDescent="0.25">
      <c r="Q167" s="1"/>
      <c r="R167" s="1"/>
      <c r="S167" s="1"/>
      <c r="T167" s="1"/>
    </row>
    <row r="168" spans="17:20" ht="15.75" customHeight="1" x14ac:dyDescent="0.25">
      <c r="Q168" s="1"/>
      <c r="R168" s="1"/>
      <c r="S168" s="1"/>
      <c r="T168" s="1"/>
    </row>
    <row r="169" spans="17:20" ht="15.75" customHeight="1" x14ac:dyDescent="0.25">
      <c r="Q169" s="1"/>
      <c r="R169" s="1"/>
      <c r="S169" s="1"/>
      <c r="T169" s="1"/>
    </row>
    <row r="170" spans="17:20" ht="15.75" customHeight="1" x14ac:dyDescent="0.25">
      <c r="Q170" s="1"/>
      <c r="R170" s="1"/>
      <c r="S170" s="1"/>
      <c r="T170" s="1"/>
    </row>
    <row r="171" spans="17:20" ht="15.75" customHeight="1" x14ac:dyDescent="0.25">
      <c r="Q171" s="1"/>
      <c r="R171" s="1"/>
      <c r="S171" s="1"/>
      <c r="T171" s="1"/>
    </row>
    <row r="172" spans="17:20" ht="15.75" customHeight="1" x14ac:dyDescent="0.25">
      <c r="Q172" s="1"/>
      <c r="R172" s="1"/>
      <c r="S172" s="1"/>
      <c r="T172" s="1"/>
    </row>
    <row r="173" spans="17:20" ht="15.75" customHeight="1" x14ac:dyDescent="0.25">
      <c r="Q173" s="1"/>
      <c r="R173" s="1"/>
      <c r="S173" s="1"/>
      <c r="T173" s="1"/>
    </row>
    <row r="174" spans="17:20" ht="15.75" customHeight="1" x14ac:dyDescent="0.25">
      <c r="Q174" s="1"/>
      <c r="R174" s="1"/>
      <c r="S174" s="1"/>
      <c r="T174" s="1"/>
    </row>
    <row r="175" spans="17:20" ht="15.75" customHeight="1" x14ac:dyDescent="0.25">
      <c r="Q175" s="1"/>
      <c r="R175" s="1"/>
      <c r="S175" s="1"/>
      <c r="T175" s="1"/>
    </row>
    <row r="176" spans="17:20" ht="15.75" customHeight="1" x14ac:dyDescent="0.25">
      <c r="Q176" s="1"/>
      <c r="R176" s="1"/>
      <c r="S176" s="1"/>
      <c r="T176" s="1"/>
    </row>
    <row r="177" spans="17:20" ht="15.75" customHeight="1" x14ac:dyDescent="0.25">
      <c r="Q177" s="1"/>
      <c r="R177" s="1"/>
      <c r="S177" s="1"/>
      <c r="T177" s="1"/>
    </row>
    <row r="178" spans="17:20" ht="15.75" customHeight="1" x14ac:dyDescent="0.25">
      <c r="Q178" s="1"/>
      <c r="R178" s="1"/>
      <c r="S178" s="1"/>
      <c r="T178" s="1"/>
    </row>
    <row r="179" spans="17:20" ht="15.75" customHeight="1" x14ac:dyDescent="0.25">
      <c r="Q179" s="1"/>
      <c r="R179" s="1"/>
      <c r="S179" s="1"/>
      <c r="T179" s="1"/>
    </row>
    <row r="180" spans="17:20" ht="15.75" customHeight="1" x14ac:dyDescent="0.25">
      <c r="Q180" s="1"/>
      <c r="R180" s="1"/>
      <c r="S180" s="1"/>
      <c r="T180" s="1"/>
    </row>
    <row r="181" spans="17:20" ht="15.75" customHeight="1" x14ac:dyDescent="0.25">
      <c r="Q181" s="1"/>
      <c r="R181" s="1"/>
      <c r="S181" s="1"/>
      <c r="T181" s="1"/>
    </row>
    <row r="182" spans="17:20" ht="15.75" customHeight="1" x14ac:dyDescent="0.25">
      <c r="Q182" s="1"/>
      <c r="R182" s="1"/>
      <c r="S182" s="1"/>
      <c r="T182" s="1"/>
    </row>
    <row r="183" spans="17:20" ht="15.75" customHeight="1" x14ac:dyDescent="0.25">
      <c r="Q183" s="1"/>
      <c r="R183" s="1"/>
      <c r="S183" s="1"/>
      <c r="T183" s="1"/>
    </row>
    <row r="184" spans="17:20" ht="15.75" customHeight="1" x14ac:dyDescent="0.25">
      <c r="Q184" s="1"/>
      <c r="R184" s="1"/>
      <c r="S184" s="1"/>
      <c r="T184" s="1"/>
    </row>
    <row r="185" spans="17:20" ht="15.75" customHeight="1" x14ac:dyDescent="0.25">
      <c r="Q185" s="1"/>
      <c r="R185" s="1"/>
      <c r="S185" s="1"/>
      <c r="T185" s="1"/>
    </row>
    <row r="186" spans="17:20" ht="15.75" customHeight="1" x14ac:dyDescent="0.25">
      <c r="Q186" s="1"/>
      <c r="R186" s="1"/>
      <c r="S186" s="1"/>
      <c r="T186" s="1"/>
    </row>
    <row r="187" spans="17:20" ht="15.75" customHeight="1" x14ac:dyDescent="0.25">
      <c r="Q187" s="1"/>
      <c r="R187" s="1"/>
      <c r="S187" s="1"/>
      <c r="T187" s="1"/>
    </row>
    <row r="188" spans="17:20" ht="15.75" customHeight="1" x14ac:dyDescent="0.25">
      <c r="Q188" s="1"/>
      <c r="R188" s="1"/>
      <c r="S188" s="1"/>
      <c r="T188" s="1"/>
    </row>
    <row r="189" spans="17:20" ht="15.75" customHeight="1" x14ac:dyDescent="0.25">
      <c r="Q189" s="1"/>
      <c r="R189" s="1"/>
      <c r="S189" s="1"/>
      <c r="T189" s="1"/>
    </row>
    <row r="190" spans="17:20" ht="15.75" customHeight="1" x14ac:dyDescent="0.25">
      <c r="Q190" s="1"/>
      <c r="R190" s="1"/>
      <c r="S190" s="1"/>
      <c r="T190" s="1"/>
    </row>
    <row r="191" spans="17:20" ht="15.75" customHeight="1" x14ac:dyDescent="0.25">
      <c r="Q191" s="1"/>
      <c r="R191" s="1"/>
      <c r="S191" s="1"/>
      <c r="T191" s="1"/>
    </row>
    <row r="192" spans="17:20" ht="15.75" customHeight="1" x14ac:dyDescent="0.25">
      <c r="Q192" s="1"/>
      <c r="R192" s="1"/>
      <c r="S192" s="1"/>
      <c r="T192" s="1"/>
    </row>
    <row r="193" spans="17:20" ht="15.75" customHeight="1" x14ac:dyDescent="0.25">
      <c r="Q193" s="1"/>
      <c r="R193" s="1"/>
      <c r="S193" s="1"/>
      <c r="T193" s="1"/>
    </row>
    <row r="194" spans="17:20" ht="15.75" customHeight="1" x14ac:dyDescent="0.25">
      <c r="Q194" s="1"/>
      <c r="R194" s="1"/>
      <c r="S194" s="1"/>
      <c r="T194" s="1"/>
    </row>
    <row r="195" spans="17:20" ht="15.75" customHeight="1" x14ac:dyDescent="0.25">
      <c r="Q195" s="1"/>
      <c r="R195" s="1"/>
      <c r="S195" s="1"/>
      <c r="T195" s="1"/>
    </row>
    <row r="196" spans="17:20" ht="15.75" customHeight="1" x14ac:dyDescent="0.25">
      <c r="Q196" s="1"/>
      <c r="R196" s="1"/>
      <c r="S196" s="1"/>
      <c r="T196" s="1"/>
    </row>
    <row r="197" spans="17:20" ht="15.75" customHeight="1" x14ac:dyDescent="0.25">
      <c r="Q197" s="1"/>
      <c r="R197" s="1"/>
      <c r="S197" s="1"/>
      <c r="T197" s="1"/>
    </row>
    <row r="198" spans="17:20" ht="15.75" customHeight="1" x14ac:dyDescent="0.25">
      <c r="Q198" s="1"/>
      <c r="R198" s="1"/>
      <c r="S198" s="1"/>
      <c r="T198" s="1"/>
    </row>
    <row r="199" spans="17:20" ht="15.75" customHeight="1" x14ac:dyDescent="0.25">
      <c r="Q199" s="1"/>
      <c r="R199" s="1"/>
      <c r="S199" s="1"/>
      <c r="T199" s="1"/>
    </row>
    <row r="200" spans="17:20" ht="15.75" customHeight="1" x14ac:dyDescent="0.25">
      <c r="Q200" s="1"/>
      <c r="R200" s="1"/>
      <c r="S200" s="1"/>
      <c r="T200" s="1"/>
    </row>
    <row r="201" spans="17:20" ht="15.75" customHeight="1" x14ac:dyDescent="0.25">
      <c r="Q201" s="1"/>
      <c r="R201" s="1"/>
      <c r="S201" s="1"/>
      <c r="T201" s="1"/>
    </row>
    <row r="202" spans="17:20" ht="15.75" customHeight="1" x14ac:dyDescent="0.25">
      <c r="Q202" s="1"/>
      <c r="R202" s="1"/>
      <c r="S202" s="1"/>
      <c r="T202" s="1"/>
    </row>
    <row r="203" spans="17:20" ht="15.75" customHeight="1" x14ac:dyDescent="0.25">
      <c r="Q203" s="1"/>
      <c r="R203" s="1"/>
      <c r="S203" s="1"/>
      <c r="T203" s="1"/>
    </row>
    <row r="204" spans="17:20" ht="15.75" customHeight="1" x14ac:dyDescent="0.25">
      <c r="Q204" s="1"/>
      <c r="R204" s="1"/>
      <c r="S204" s="1"/>
      <c r="T204" s="1"/>
    </row>
    <row r="205" spans="17:20" ht="15.75" customHeight="1" x14ac:dyDescent="0.25">
      <c r="Q205" s="1"/>
      <c r="R205" s="1"/>
      <c r="S205" s="1"/>
      <c r="T205" s="1"/>
    </row>
    <row r="206" spans="17:20" ht="15.75" customHeight="1" x14ac:dyDescent="0.25">
      <c r="Q206" s="1"/>
      <c r="R206" s="1"/>
      <c r="S206" s="1"/>
      <c r="T206" s="1"/>
    </row>
    <row r="207" spans="17:20" ht="15.75" customHeight="1" x14ac:dyDescent="0.25">
      <c r="Q207" s="1"/>
      <c r="R207" s="1"/>
      <c r="S207" s="1"/>
      <c r="T207" s="1"/>
    </row>
    <row r="208" spans="17:20" ht="15.75" customHeight="1" x14ac:dyDescent="0.25">
      <c r="Q208" s="1"/>
      <c r="R208" s="1"/>
      <c r="S208" s="1"/>
      <c r="T208" s="1"/>
    </row>
    <row r="209" spans="17:20" ht="15.75" customHeight="1" x14ac:dyDescent="0.25">
      <c r="Q209" s="1"/>
      <c r="R209" s="1"/>
      <c r="S209" s="1"/>
      <c r="T209" s="1"/>
    </row>
    <row r="210" spans="17:20" ht="15.75" customHeight="1" x14ac:dyDescent="0.25">
      <c r="Q210" s="1"/>
      <c r="R210" s="1"/>
      <c r="S210" s="1"/>
      <c r="T210" s="1"/>
    </row>
    <row r="211" spans="17:20" ht="15.75" customHeight="1" x14ac:dyDescent="0.25">
      <c r="Q211" s="1"/>
      <c r="R211" s="1"/>
      <c r="S211" s="1"/>
      <c r="T211" s="1"/>
    </row>
    <row r="212" spans="17:20" ht="15.75" customHeight="1" x14ac:dyDescent="0.25">
      <c r="Q212" s="1"/>
      <c r="R212" s="1"/>
      <c r="S212" s="1"/>
      <c r="T212" s="1"/>
    </row>
    <row r="213" spans="17:20" ht="15.75" customHeight="1" x14ac:dyDescent="0.25">
      <c r="Q213" s="1"/>
      <c r="R213" s="1"/>
      <c r="S213" s="1"/>
      <c r="T213" s="1"/>
    </row>
    <row r="214" spans="17:20" ht="15.75" customHeight="1" x14ac:dyDescent="0.25">
      <c r="Q214" s="1"/>
      <c r="R214" s="1"/>
      <c r="S214" s="1"/>
      <c r="T214" s="1"/>
    </row>
    <row r="215" spans="17:20" ht="15.75" customHeight="1" x14ac:dyDescent="0.25">
      <c r="Q215" s="1"/>
      <c r="R215" s="1"/>
      <c r="S215" s="1"/>
      <c r="T215" s="1"/>
    </row>
    <row r="216" spans="17:20" ht="15.75" customHeight="1" x14ac:dyDescent="0.25">
      <c r="Q216" s="1"/>
      <c r="R216" s="1"/>
      <c r="S216" s="1"/>
      <c r="T216" s="1"/>
    </row>
    <row r="217" spans="17:20" ht="15.75" customHeight="1" x14ac:dyDescent="0.25">
      <c r="Q217" s="1"/>
      <c r="R217" s="1"/>
      <c r="S217" s="1"/>
      <c r="T217" s="1"/>
    </row>
    <row r="218" spans="17:20" ht="15.75" customHeight="1" x14ac:dyDescent="0.25">
      <c r="Q218" s="1"/>
      <c r="R218" s="1"/>
      <c r="S218" s="1"/>
      <c r="T218" s="1"/>
    </row>
    <row r="219" spans="17:20" ht="15.75" customHeight="1" x14ac:dyDescent="0.25">
      <c r="Q219" s="1"/>
      <c r="R219" s="1"/>
      <c r="S219" s="1"/>
      <c r="T219" s="1"/>
    </row>
    <row r="220" spans="17:20" ht="15.75" customHeight="1" x14ac:dyDescent="0.25">
      <c r="Q220" s="1"/>
      <c r="R220" s="1"/>
      <c r="S220" s="1"/>
      <c r="T220" s="1"/>
    </row>
    <row r="221" spans="17:20" ht="15.75" customHeight="1" x14ac:dyDescent="0.25">
      <c r="Q221" s="1"/>
      <c r="R221" s="1"/>
      <c r="S221" s="1"/>
      <c r="T221" s="1"/>
    </row>
    <row r="222" spans="17:20" ht="15.75" customHeight="1" x14ac:dyDescent="0.25">
      <c r="Q222" s="1"/>
      <c r="R222" s="1"/>
      <c r="S222" s="1"/>
      <c r="T222" s="1"/>
    </row>
    <row r="223" spans="17:20" ht="15.75" customHeight="1" x14ac:dyDescent="0.25">
      <c r="Q223" s="1"/>
      <c r="R223" s="1"/>
      <c r="S223" s="1"/>
      <c r="T223" s="1"/>
    </row>
    <row r="224" spans="17:20" ht="15.75" customHeight="1" x14ac:dyDescent="0.25">
      <c r="Q224" s="1"/>
      <c r="R224" s="1"/>
      <c r="S224" s="1"/>
      <c r="T224" s="1"/>
    </row>
    <row r="225" spans="17:20" ht="15.75" customHeight="1" x14ac:dyDescent="0.25">
      <c r="Q225" s="1"/>
      <c r="R225" s="1"/>
      <c r="S225" s="1"/>
      <c r="T225" s="1"/>
    </row>
    <row r="226" spans="17:20" ht="15.75" customHeight="1" x14ac:dyDescent="0.25">
      <c r="Q226" s="1"/>
      <c r="R226" s="1"/>
      <c r="S226" s="1"/>
      <c r="T226" s="1"/>
    </row>
    <row r="227" spans="17:20" ht="15.75" customHeight="1" x14ac:dyDescent="0.25">
      <c r="Q227" s="1"/>
      <c r="R227" s="1"/>
      <c r="S227" s="1"/>
      <c r="T227" s="1"/>
    </row>
    <row r="228" spans="17:20" ht="15.75" customHeight="1" x14ac:dyDescent="0.25">
      <c r="Q228" s="1"/>
      <c r="R228" s="1"/>
      <c r="S228" s="1"/>
      <c r="T228" s="1"/>
    </row>
    <row r="229" spans="17:20" ht="15.75" customHeight="1" x14ac:dyDescent="0.25">
      <c r="Q229" s="1"/>
      <c r="R229" s="1"/>
      <c r="S229" s="1"/>
      <c r="T229" s="1"/>
    </row>
    <row r="230" spans="17:20" ht="15.75" customHeight="1" x14ac:dyDescent="0.25">
      <c r="Q230" s="1"/>
      <c r="R230" s="1"/>
      <c r="S230" s="1"/>
      <c r="T230" s="1"/>
    </row>
    <row r="231" spans="17:20" ht="15.75" customHeight="1" x14ac:dyDescent="0.25">
      <c r="Q231" s="1"/>
      <c r="R231" s="1"/>
      <c r="S231" s="1"/>
      <c r="T231" s="1"/>
    </row>
    <row r="232" spans="17:20" ht="15.75" customHeight="1" x14ac:dyDescent="0.25">
      <c r="Q232" s="1"/>
      <c r="R232" s="1"/>
      <c r="S232" s="1"/>
      <c r="T232" s="1"/>
    </row>
    <row r="233" spans="17:20" ht="15.75" customHeight="1" x14ac:dyDescent="0.25">
      <c r="Q233" s="1"/>
      <c r="R233" s="1"/>
      <c r="S233" s="1"/>
      <c r="T233" s="1"/>
    </row>
    <row r="234" spans="17:20" ht="15.75" customHeight="1" x14ac:dyDescent="0.25">
      <c r="Q234" s="1"/>
      <c r="R234" s="1"/>
      <c r="S234" s="1"/>
      <c r="T234" s="1"/>
    </row>
    <row r="235" spans="17:20" ht="15.75" customHeight="1" x14ac:dyDescent="0.25">
      <c r="Q235" s="1"/>
      <c r="R235" s="1"/>
      <c r="S235" s="1"/>
      <c r="T235" s="1"/>
    </row>
    <row r="236" spans="17:20" ht="15.75" customHeight="1" x14ac:dyDescent="0.25">
      <c r="Q236" s="1"/>
      <c r="R236" s="1"/>
      <c r="S236" s="1"/>
      <c r="T236" s="1"/>
    </row>
    <row r="237" spans="17:20" ht="15.75" customHeight="1" x14ac:dyDescent="0.25">
      <c r="Q237" s="1"/>
      <c r="R237" s="1"/>
      <c r="S237" s="1"/>
      <c r="T237" s="1"/>
    </row>
    <row r="238" spans="17:20" ht="15.75" customHeight="1" x14ac:dyDescent="0.25">
      <c r="Q238" s="1"/>
      <c r="R238" s="1"/>
      <c r="S238" s="1"/>
      <c r="T238" s="1"/>
    </row>
    <row r="239" spans="17:20" ht="15.75" customHeight="1" x14ac:dyDescent="0.25">
      <c r="Q239" s="1"/>
      <c r="R239" s="1"/>
      <c r="S239" s="1"/>
      <c r="T239" s="1"/>
    </row>
    <row r="240" spans="17:20" ht="15.75" customHeight="1" x14ac:dyDescent="0.25">
      <c r="Q240" s="1"/>
      <c r="R240" s="1"/>
      <c r="S240" s="1"/>
      <c r="T240" s="1"/>
    </row>
    <row r="241" spans="17:20" ht="15.75" customHeight="1" x14ac:dyDescent="0.25">
      <c r="Q241" s="1"/>
      <c r="R241" s="1"/>
      <c r="S241" s="1"/>
      <c r="T241" s="1"/>
    </row>
    <row r="242" spans="17:20" ht="15.75" customHeight="1" x14ac:dyDescent="0.25">
      <c r="Q242" s="1"/>
      <c r="R242" s="1"/>
      <c r="S242" s="1"/>
      <c r="T242" s="1"/>
    </row>
    <row r="243" spans="17:20" ht="15.75" customHeight="1" x14ac:dyDescent="0.25">
      <c r="Q243" s="1"/>
      <c r="R243" s="1"/>
      <c r="S243" s="1"/>
      <c r="T243" s="1"/>
    </row>
    <row r="244" spans="17:20" ht="15.75" customHeight="1" x14ac:dyDescent="0.25">
      <c r="Q244" s="1"/>
      <c r="R244" s="1"/>
      <c r="S244" s="1"/>
      <c r="T244" s="1"/>
    </row>
    <row r="245" spans="17:20" ht="15.75" customHeight="1" x14ac:dyDescent="0.25">
      <c r="Q245" s="1"/>
      <c r="R245" s="1"/>
      <c r="S245" s="1"/>
      <c r="T245" s="1"/>
    </row>
    <row r="246" spans="17:20" ht="15.75" customHeight="1" x14ac:dyDescent="0.25">
      <c r="Q246" s="1"/>
      <c r="R246" s="1"/>
      <c r="S246" s="1"/>
      <c r="T246" s="1"/>
    </row>
    <row r="247" spans="17:20" ht="15.75" customHeight="1" x14ac:dyDescent="0.25">
      <c r="Q247" s="1"/>
      <c r="R247" s="1"/>
      <c r="S247" s="1"/>
      <c r="T247" s="1"/>
    </row>
    <row r="248" spans="17:20" ht="15.75" customHeight="1" x14ac:dyDescent="0.25">
      <c r="Q248" s="1"/>
      <c r="R248" s="1"/>
      <c r="S248" s="1"/>
      <c r="T248" s="1"/>
    </row>
    <row r="249" spans="17:20" ht="15.75" customHeight="1" x14ac:dyDescent="0.25">
      <c r="Q249" s="1"/>
      <c r="R249" s="1"/>
      <c r="S249" s="1"/>
      <c r="T249" s="1"/>
    </row>
    <row r="250" spans="17:20" ht="15.75" customHeight="1" x14ac:dyDescent="0.25">
      <c r="Q250" s="1"/>
      <c r="R250" s="1"/>
      <c r="S250" s="1"/>
      <c r="T250" s="1"/>
    </row>
    <row r="251" spans="17:20" ht="15.75" customHeight="1" x14ac:dyDescent="0.25">
      <c r="Q251" s="1"/>
      <c r="R251" s="1"/>
      <c r="S251" s="1"/>
      <c r="T251" s="1"/>
    </row>
    <row r="252" spans="17:20" ht="15.75" customHeight="1" x14ac:dyDescent="0.25">
      <c r="Q252" s="1"/>
      <c r="R252" s="1"/>
      <c r="S252" s="1"/>
      <c r="T252" s="1"/>
    </row>
    <row r="253" spans="17:20" ht="15.75" customHeight="1" x14ac:dyDescent="0.25">
      <c r="Q253" s="1"/>
      <c r="R253" s="1"/>
      <c r="S253" s="1"/>
      <c r="T253" s="1"/>
    </row>
    <row r="254" spans="17:20" ht="15.75" customHeight="1" x14ac:dyDescent="0.25">
      <c r="Q254" s="1"/>
      <c r="R254" s="1"/>
      <c r="S254" s="1"/>
      <c r="T254" s="1"/>
    </row>
    <row r="255" spans="17:20" ht="15.75" customHeight="1" x14ac:dyDescent="0.25">
      <c r="Q255" s="1"/>
      <c r="R255" s="1"/>
      <c r="S255" s="1"/>
      <c r="T255" s="1"/>
    </row>
    <row r="256" spans="17:20" ht="15.75" customHeight="1" x14ac:dyDescent="0.25">
      <c r="Q256" s="1"/>
      <c r="R256" s="1"/>
      <c r="S256" s="1"/>
      <c r="T256" s="1"/>
    </row>
    <row r="257" spans="17:20" ht="15.75" customHeight="1" x14ac:dyDescent="0.25">
      <c r="Q257" s="1"/>
      <c r="R257" s="1"/>
      <c r="S257" s="1"/>
      <c r="T257" s="1"/>
    </row>
    <row r="258" spans="17:20" ht="15.75" customHeight="1" x14ac:dyDescent="0.25">
      <c r="Q258" s="1"/>
      <c r="R258" s="1"/>
      <c r="S258" s="1"/>
      <c r="T258" s="1"/>
    </row>
    <row r="259" spans="17:20" ht="15.75" customHeight="1" x14ac:dyDescent="0.25">
      <c r="Q259" s="1"/>
      <c r="R259" s="1"/>
      <c r="S259" s="1"/>
      <c r="T259" s="1"/>
    </row>
    <row r="260" spans="17:20" ht="15.75" customHeight="1" x14ac:dyDescent="0.25">
      <c r="Q260" s="1"/>
      <c r="R260" s="1"/>
      <c r="S260" s="1"/>
      <c r="T260" s="1"/>
    </row>
    <row r="261" spans="17:20" ht="15.75" customHeight="1" x14ac:dyDescent="0.25">
      <c r="Q261" s="1"/>
      <c r="R261" s="1"/>
      <c r="S261" s="1"/>
      <c r="T261" s="1"/>
    </row>
    <row r="262" spans="17:20" ht="15.75" customHeight="1" x14ac:dyDescent="0.25">
      <c r="Q262" s="1"/>
      <c r="R262" s="1"/>
      <c r="S262" s="1"/>
      <c r="T262" s="1"/>
    </row>
    <row r="263" spans="17:20" ht="15.75" customHeight="1" x14ac:dyDescent="0.25">
      <c r="Q263" s="1"/>
      <c r="R263" s="1"/>
      <c r="S263" s="1"/>
      <c r="T263" s="1"/>
    </row>
    <row r="264" spans="17:20" ht="15.75" customHeight="1" x14ac:dyDescent="0.25">
      <c r="Q264" s="1"/>
      <c r="R264" s="1"/>
      <c r="S264" s="1"/>
      <c r="T264" s="1"/>
    </row>
    <row r="265" spans="17:20" ht="15.75" customHeight="1" x14ac:dyDescent="0.25">
      <c r="Q265" s="1"/>
      <c r="R265" s="1"/>
      <c r="S265" s="1"/>
      <c r="T265" s="1"/>
    </row>
    <row r="266" spans="17:20" ht="15.75" customHeight="1" x14ac:dyDescent="0.25">
      <c r="Q266" s="1"/>
      <c r="R266" s="1"/>
      <c r="S266" s="1"/>
      <c r="T266" s="1"/>
    </row>
    <row r="267" spans="17:20" ht="15.75" customHeight="1" x14ac:dyDescent="0.25">
      <c r="Q267" s="1"/>
      <c r="R267" s="1"/>
      <c r="S267" s="1"/>
      <c r="T267" s="1"/>
    </row>
    <row r="268" spans="17:20" ht="15.75" customHeight="1" x14ac:dyDescent="0.25">
      <c r="Q268" s="1"/>
      <c r="R268" s="1"/>
      <c r="S268" s="1"/>
      <c r="T268" s="1"/>
    </row>
    <row r="269" spans="17:20" ht="15.75" customHeight="1" x14ac:dyDescent="0.25">
      <c r="Q269" s="1"/>
      <c r="R269" s="1"/>
      <c r="S269" s="1"/>
      <c r="T269" s="1"/>
    </row>
    <row r="270" spans="17:20" ht="15.75" customHeight="1" x14ac:dyDescent="0.25">
      <c r="Q270" s="1"/>
      <c r="R270" s="1"/>
      <c r="S270" s="1"/>
      <c r="T270" s="1"/>
    </row>
    <row r="271" spans="17:20" ht="15.75" customHeight="1" x14ac:dyDescent="0.25">
      <c r="Q271" s="1"/>
      <c r="R271" s="1"/>
      <c r="S271" s="1"/>
      <c r="T271" s="1"/>
    </row>
    <row r="272" spans="17:20" ht="15.75" customHeight="1" x14ac:dyDescent="0.25">
      <c r="Q272" s="1"/>
      <c r="R272" s="1"/>
      <c r="S272" s="1"/>
      <c r="T272" s="1"/>
    </row>
    <row r="273" spans="17:20" ht="15.75" customHeight="1" x14ac:dyDescent="0.25">
      <c r="Q273" s="1"/>
      <c r="R273" s="1"/>
      <c r="S273" s="1"/>
      <c r="T273" s="1"/>
    </row>
    <row r="274" spans="17:20" ht="15.75" customHeight="1" x14ac:dyDescent="0.25">
      <c r="Q274" s="1"/>
      <c r="R274" s="1"/>
      <c r="S274" s="1"/>
      <c r="T274" s="1"/>
    </row>
    <row r="275" spans="17:20" ht="15.75" customHeight="1" x14ac:dyDescent="0.25">
      <c r="Q275" s="1"/>
      <c r="R275" s="1"/>
      <c r="S275" s="1"/>
      <c r="T275" s="1"/>
    </row>
    <row r="276" spans="17:20" ht="15.75" customHeight="1" x14ac:dyDescent="0.25">
      <c r="Q276" s="1"/>
      <c r="R276" s="1"/>
      <c r="S276" s="1"/>
      <c r="T276" s="1"/>
    </row>
    <row r="277" spans="17:20" ht="15.75" customHeight="1" x14ac:dyDescent="0.25">
      <c r="Q277" s="1"/>
      <c r="R277" s="1"/>
      <c r="S277" s="1"/>
      <c r="T277" s="1"/>
    </row>
    <row r="278" spans="17:20" ht="15.75" customHeight="1" x14ac:dyDescent="0.25">
      <c r="Q278" s="1"/>
      <c r="R278" s="1"/>
      <c r="S278" s="1"/>
      <c r="T278" s="1"/>
    </row>
    <row r="279" spans="17:20" ht="15.75" customHeight="1" x14ac:dyDescent="0.25">
      <c r="Q279" s="1"/>
      <c r="R279" s="1"/>
      <c r="S279" s="1"/>
      <c r="T279" s="1"/>
    </row>
    <row r="280" spans="17:20" ht="15.75" customHeight="1" x14ac:dyDescent="0.25">
      <c r="Q280" s="1"/>
      <c r="R280" s="1"/>
      <c r="S280" s="1"/>
      <c r="T280" s="1"/>
    </row>
    <row r="281" spans="17:20" ht="15.75" customHeight="1" x14ac:dyDescent="0.25">
      <c r="Q281" s="1"/>
      <c r="R281" s="1"/>
      <c r="S281" s="1"/>
      <c r="T281" s="1"/>
    </row>
    <row r="282" spans="17:20" ht="15.75" customHeight="1" x14ac:dyDescent="0.25">
      <c r="Q282" s="1"/>
      <c r="R282" s="1"/>
      <c r="S282" s="1"/>
      <c r="T282" s="1"/>
    </row>
    <row r="283" spans="17:20" ht="15.75" customHeight="1" x14ac:dyDescent="0.25">
      <c r="Q283" s="1"/>
      <c r="R283" s="1"/>
      <c r="S283" s="1"/>
      <c r="T283" s="1"/>
    </row>
    <row r="284" spans="17:20" ht="15.75" customHeight="1" x14ac:dyDescent="0.25">
      <c r="Q284" s="1"/>
      <c r="R284" s="1"/>
      <c r="S284" s="1"/>
      <c r="T284" s="1"/>
    </row>
    <row r="285" spans="17:20" ht="15.75" customHeight="1" x14ac:dyDescent="0.25">
      <c r="Q285" s="1"/>
      <c r="R285" s="1"/>
      <c r="S285" s="1"/>
      <c r="T285" s="1"/>
    </row>
    <row r="286" spans="17:20" ht="15.75" customHeight="1" x14ac:dyDescent="0.25">
      <c r="Q286" s="1"/>
      <c r="R286" s="1"/>
      <c r="S286" s="1"/>
      <c r="T286" s="1"/>
    </row>
    <row r="287" spans="17:20" ht="15.75" customHeight="1" x14ac:dyDescent="0.25">
      <c r="Q287" s="1"/>
      <c r="R287" s="1"/>
      <c r="S287" s="1"/>
      <c r="T287" s="1"/>
    </row>
    <row r="288" spans="17:20" ht="15.75" customHeight="1" x14ac:dyDescent="0.25">
      <c r="Q288" s="1"/>
      <c r="R288" s="1"/>
      <c r="S288" s="1"/>
      <c r="T288" s="1"/>
    </row>
    <row r="289" spans="17:20" ht="15.75" customHeight="1" x14ac:dyDescent="0.25">
      <c r="Q289" s="1"/>
      <c r="R289" s="1"/>
      <c r="S289" s="1"/>
      <c r="T289" s="1"/>
    </row>
    <row r="290" spans="17:20" ht="15.75" customHeight="1" x14ac:dyDescent="0.25">
      <c r="Q290" s="1"/>
      <c r="R290" s="1"/>
      <c r="S290" s="1"/>
      <c r="T290" s="1"/>
    </row>
    <row r="291" spans="17:20" ht="15.75" customHeight="1" x14ac:dyDescent="0.25">
      <c r="Q291" s="1"/>
      <c r="R291" s="1"/>
      <c r="S291" s="1"/>
      <c r="T291" s="1"/>
    </row>
    <row r="292" spans="17:20" ht="15.75" customHeight="1" x14ac:dyDescent="0.25">
      <c r="Q292" s="1"/>
      <c r="R292" s="1"/>
      <c r="S292" s="1"/>
      <c r="T292" s="1"/>
    </row>
    <row r="293" spans="17:20" ht="15.75" customHeight="1" x14ac:dyDescent="0.25">
      <c r="Q293" s="1"/>
      <c r="R293" s="1"/>
      <c r="S293" s="1"/>
      <c r="T293" s="1"/>
    </row>
    <row r="294" spans="17:20" ht="15.75" customHeight="1" x14ac:dyDescent="0.25">
      <c r="Q294" s="1"/>
      <c r="R294" s="1"/>
      <c r="S294" s="1"/>
      <c r="T294" s="1"/>
    </row>
    <row r="295" spans="17:20" ht="15.75" customHeight="1" x14ac:dyDescent="0.25">
      <c r="Q295" s="1"/>
      <c r="R295" s="1"/>
      <c r="S295" s="1"/>
      <c r="T295" s="1"/>
    </row>
    <row r="296" spans="17:20" ht="15.75" customHeight="1" x14ac:dyDescent="0.25">
      <c r="Q296" s="1"/>
      <c r="R296" s="1"/>
      <c r="S296" s="1"/>
      <c r="T296" s="1"/>
    </row>
    <row r="297" spans="17:20" ht="15.75" customHeight="1" x14ac:dyDescent="0.25">
      <c r="Q297" s="1"/>
      <c r="R297" s="1"/>
      <c r="S297" s="1"/>
      <c r="T297" s="1"/>
    </row>
    <row r="298" spans="17:20" ht="15.75" customHeight="1" x14ac:dyDescent="0.25">
      <c r="Q298" s="1"/>
      <c r="R298" s="1"/>
      <c r="S298" s="1"/>
      <c r="T298" s="1"/>
    </row>
    <row r="299" spans="17:20" ht="15.75" customHeight="1" x14ac:dyDescent="0.25">
      <c r="Q299" s="1"/>
      <c r="R299" s="1"/>
      <c r="S299" s="1"/>
      <c r="T299" s="1"/>
    </row>
    <row r="300" spans="17:20" ht="15.75" customHeight="1" x14ac:dyDescent="0.25">
      <c r="Q300" s="1"/>
      <c r="R300" s="1"/>
      <c r="S300" s="1"/>
      <c r="T300" s="1"/>
    </row>
    <row r="301" spans="17:20" ht="15.75" customHeight="1" x14ac:dyDescent="0.25">
      <c r="Q301" s="1"/>
      <c r="R301" s="1"/>
      <c r="S301" s="1"/>
      <c r="T301" s="1"/>
    </row>
    <row r="302" spans="17:20" ht="15.75" customHeight="1" x14ac:dyDescent="0.25">
      <c r="Q302" s="1"/>
      <c r="R302" s="1"/>
      <c r="S302" s="1"/>
      <c r="T302" s="1"/>
    </row>
    <row r="303" spans="17:20" ht="15.75" customHeight="1" x14ac:dyDescent="0.25">
      <c r="Q303" s="1"/>
      <c r="R303" s="1"/>
      <c r="S303" s="1"/>
      <c r="T303" s="1"/>
    </row>
    <row r="304" spans="17:20" ht="15.75" customHeight="1" x14ac:dyDescent="0.25">
      <c r="Q304" s="1"/>
      <c r="R304" s="1"/>
      <c r="S304" s="1"/>
      <c r="T304" s="1"/>
    </row>
    <row r="305" spans="17:20" ht="15.75" customHeight="1" x14ac:dyDescent="0.25">
      <c r="Q305" s="1"/>
      <c r="R305" s="1"/>
      <c r="S305" s="1"/>
      <c r="T305" s="1"/>
    </row>
    <row r="306" spans="17:20" ht="15.75" customHeight="1" x14ac:dyDescent="0.25">
      <c r="Q306" s="1"/>
      <c r="R306" s="1"/>
      <c r="S306" s="1"/>
      <c r="T306" s="1"/>
    </row>
    <row r="307" spans="17:20" ht="15.75" customHeight="1" x14ac:dyDescent="0.25">
      <c r="Q307" s="1"/>
      <c r="R307" s="1"/>
      <c r="S307" s="1"/>
      <c r="T307" s="1"/>
    </row>
    <row r="308" spans="17:20" ht="15.75" customHeight="1" x14ac:dyDescent="0.25">
      <c r="Q308" s="1"/>
      <c r="R308" s="1"/>
      <c r="S308" s="1"/>
      <c r="T308" s="1"/>
    </row>
    <row r="309" spans="17:20" ht="15.75" customHeight="1" x14ac:dyDescent="0.25">
      <c r="Q309" s="1"/>
      <c r="R309" s="1"/>
      <c r="S309" s="1"/>
      <c r="T309" s="1"/>
    </row>
    <row r="310" spans="17:20" ht="15.75" customHeight="1" x14ac:dyDescent="0.25">
      <c r="Q310" s="1"/>
      <c r="R310" s="1"/>
      <c r="S310" s="1"/>
      <c r="T310" s="1"/>
    </row>
    <row r="311" spans="17:20" ht="15.75" customHeight="1" x14ac:dyDescent="0.25">
      <c r="Q311" s="1"/>
      <c r="R311" s="1"/>
      <c r="S311" s="1"/>
      <c r="T311" s="1"/>
    </row>
    <row r="312" spans="17:20" ht="15.75" customHeight="1" x14ac:dyDescent="0.25">
      <c r="Q312" s="1"/>
      <c r="R312" s="1"/>
      <c r="S312" s="1"/>
      <c r="T312" s="1"/>
    </row>
    <row r="313" spans="17:20" ht="15.75" customHeight="1" x14ac:dyDescent="0.25">
      <c r="Q313" s="1"/>
      <c r="R313" s="1"/>
      <c r="S313" s="1"/>
      <c r="T313" s="1"/>
    </row>
    <row r="314" spans="17:20" ht="15.75" customHeight="1" x14ac:dyDescent="0.25">
      <c r="Q314" s="1"/>
      <c r="R314" s="1"/>
      <c r="S314" s="1"/>
      <c r="T314" s="1"/>
    </row>
    <row r="315" spans="17:20" ht="15.75" customHeight="1" x14ac:dyDescent="0.25">
      <c r="Q315" s="1"/>
      <c r="R315" s="1"/>
      <c r="S315" s="1"/>
      <c r="T315" s="1"/>
    </row>
    <row r="316" spans="17:20" ht="15.75" customHeight="1" x14ac:dyDescent="0.25">
      <c r="Q316" s="1"/>
      <c r="R316" s="1"/>
      <c r="S316" s="1"/>
      <c r="T316" s="1"/>
    </row>
    <row r="317" spans="17:20" ht="15.75" customHeight="1" x14ac:dyDescent="0.25">
      <c r="Q317" s="1"/>
      <c r="R317" s="1"/>
      <c r="S317" s="1"/>
      <c r="T317" s="1"/>
    </row>
    <row r="318" spans="17:20" ht="15.75" customHeight="1" x14ac:dyDescent="0.25">
      <c r="Q318" s="1"/>
      <c r="R318" s="1"/>
      <c r="S318" s="1"/>
      <c r="T318" s="1"/>
    </row>
    <row r="319" spans="17:20" ht="15.75" customHeight="1" x14ac:dyDescent="0.25">
      <c r="Q319" s="1"/>
      <c r="R319" s="1"/>
      <c r="S319" s="1"/>
      <c r="T319" s="1"/>
    </row>
    <row r="320" spans="17:20" ht="15.75" customHeight="1" x14ac:dyDescent="0.25">
      <c r="Q320" s="1"/>
      <c r="R320" s="1"/>
      <c r="S320" s="1"/>
      <c r="T320" s="1"/>
    </row>
    <row r="321" spans="17:20" ht="15.75" customHeight="1" x14ac:dyDescent="0.25">
      <c r="Q321" s="1"/>
      <c r="R321" s="1"/>
      <c r="S321" s="1"/>
      <c r="T321" s="1"/>
    </row>
    <row r="322" spans="17:20" ht="15.75" customHeight="1" x14ac:dyDescent="0.25">
      <c r="Q322" s="1"/>
      <c r="R322" s="1"/>
      <c r="S322" s="1"/>
      <c r="T322" s="1"/>
    </row>
    <row r="323" spans="17:20" ht="15.75" customHeight="1" x14ac:dyDescent="0.25">
      <c r="Q323" s="1"/>
      <c r="R323" s="1"/>
      <c r="S323" s="1"/>
      <c r="T323" s="1"/>
    </row>
    <row r="324" spans="17:20" ht="15.75" customHeight="1" x14ac:dyDescent="0.25">
      <c r="Q324" s="1"/>
      <c r="R324" s="1"/>
      <c r="S324" s="1"/>
      <c r="T324" s="1"/>
    </row>
    <row r="325" spans="17:20" ht="15.75" customHeight="1" x14ac:dyDescent="0.25">
      <c r="Q325" s="1"/>
      <c r="R325" s="1"/>
      <c r="S325" s="1"/>
      <c r="T325" s="1"/>
    </row>
    <row r="326" spans="17:20" ht="15.75" customHeight="1" x14ac:dyDescent="0.25">
      <c r="Q326" s="1"/>
      <c r="R326" s="1"/>
      <c r="S326" s="1"/>
      <c r="T326" s="1"/>
    </row>
    <row r="327" spans="17:20" ht="15.75" customHeight="1" x14ac:dyDescent="0.25">
      <c r="Q327" s="1"/>
      <c r="R327" s="1"/>
      <c r="S327" s="1"/>
      <c r="T327" s="1"/>
    </row>
    <row r="328" spans="17:20" ht="15.75" customHeight="1" x14ac:dyDescent="0.25">
      <c r="Q328" s="1"/>
      <c r="R328" s="1"/>
      <c r="S328" s="1"/>
      <c r="T328" s="1"/>
    </row>
    <row r="329" spans="17:20" ht="15.75" customHeight="1" x14ac:dyDescent="0.25">
      <c r="Q329" s="1"/>
      <c r="R329" s="1"/>
      <c r="S329" s="1"/>
      <c r="T329" s="1"/>
    </row>
    <row r="330" spans="17:20" ht="15.75" customHeight="1" x14ac:dyDescent="0.25">
      <c r="Q330" s="1"/>
      <c r="R330" s="1"/>
      <c r="S330" s="1"/>
      <c r="T330" s="1"/>
    </row>
    <row r="331" spans="17:20" ht="15.75" customHeight="1" x14ac:dyDescent="0.25">
      <c r="Q331" s="1"/>
      <c r="R331" s="1"/>
      <c r="S331" s="1"/>
      <c r="T331" s="1"/>
    </row>
    <row r="332" spans="17:20" ht="15.75" customHeight="1" x14ac:dyDescent="0.25">
      <c r="Q332" s="1"/>
      <c r="R332" s="1"/>
      <c r="S332" s="1"/>
      <c r="T332" s="1"/>
    </row>
    <row r="333" spans="17:20" ht="15.75" customHeight="1" x14ac:dyDescent="0.25">
      <c r="Q333" s="1"/>
      <c r="R333" s="1"/>
      <c r="S333" s="1"/>
      <c r="T333" s="1"/>
    </row>
    <row r="334" spans="17:20" ht="15.75" customHeight="1" x14ac:dyDescent="0.25">
      <c r="Q334" s="1"/>
      <c r="R334" s="1"/>
      <c r="S334" s="1"/>
      <c r="T334" s="1"/>
    </row>
    <row r="335" spans="17:20" ht="15.75" customHeight="1" x14ac:dyDescent="0.25">
      <c r="Q335" s="1"/>
      <c r="R335" s="1"/>
      <c r="S335" s="1"/>
      <c r="T335" s="1"/>
    </row>
    <row r="336" spans="17:20" ht="15.75" customHeight="1" x14ac:dyDescent="0.25">
      <c r="Q336" s="1"/>
      <c r="R336" s="1"/>
      <c r="S336" s="1"/>
      <c r="T336" s="1"/>
    </row>
    <row r="337" spans="17:20" ht="15.75" customHeight="1" x14ac:dyDescent="0.25">
      <c r="Q337" s="1"/>
      <c r="R337" s="1"/>
      <c r="S337" s="1"/>
      <c r="T337" s="1"/>
    </row>
    <row r="338" spans="17:20" ht="15.75" customHeight="1" x14ac:dyDescent="0.25">
      <c r="Q338" s="1"/>
      <c r="R338" s="1"/>
      <c r="S338" s="1"/>
      <c r="T338" s="1"/>
    </row>
    <row r="339" spans="17:20" ht="15.75" customHeight="1" x14ac:dyDescent="0.25">
      <c r="Q339" s="1"/>
      <c r="R339" s="1"/>
      <c r="S339" s="1"/>
      <c r="T339" s="1"/>
    </row>
    <row r="340" spans="17:20" ht="15.75" customHeight="1" x14ac:dyDescent="0.25">
      <c r="Q340" s="1"/>
      <c r="R340" s="1"/>
      <c r="S340" s="1"/>
      <c r="T340" s="1"/>
    </row>
    <row r="341" spans="17:20" ht="15.75" customHeight="1" x14ac:dyDescent="0.25">
      <c r="Q341" s="1"/>
      <c r="R341" s="1"/>
      <c r="S341" s="1"/>
      <c r="T341" s="1"/>
    </row>
    <row r="342" spans="17:20" ht="15.75" customHeight="1" x14ac:dyDescent="0.25">
      <c r="Q342" s="1"/>
      <c r="R342" s="1"/>
      <c r="S342" s="1"/>
      <c r="T342" s="1"/>
    </row>
    <row r="343" spans="17:20" ht="15.75" customHeight="1" x14ac:dyDescent="0.25">
      <c r="Q343" s="1"/>
      <c r="R343" s="1"/>
      <c r="S343" s="1"/>
      <c r="T343" s="1"/>
    </row>
    <row r="344" spans="17:20" ht="15.75" customHeight="1" x14ac:dyDescent="0.25">
      <c r="Q344" s="1"/>
      <c r="R344" s="1"/>
      <c r="S344" s="1"/>
      <c r="T344" s="1"/>
    </row>
    <row r="345" spans="17:20" ht="15.75" customHeight="1" x14ac:dyDescent="0.25">
      <c r="Q345" s="1"/>
      <c r="R345" s="1"/>
      <c r="S345" s="1"/>
      <c r="T345" s="1"/>
    </row>
    <row r="346" spans="17:20" ht="15.75" customHeight="1" x14ac:dyDescent="0.25">
      <c r="Q346" s="1"/>
      <c r="R346" s="1"/>
      <c r="S346" s="1"/>
      <c r="T346" s="1"/>
    </row>
    <row r="347" spans="17:20" ht="15.75" customHeight="1" x14ac:dyDescent="0.25">
      <c r="Q347" s="1"/>
      <c r="R347" s="1"/>
      <c r="S347" s="1"/>
      <c r="T347" s="1"/>
    </row>
    <row r="348" spans="17:20" ht="15.75" customHeight="1" x14ac:dyDescent="0.25">
      <c r="Q348" s="1"/>
      <c r="R348" s="1"/>
      <c r="S348" s="1"/>
      <c r="T348" s="1"/>
    </row>
    <row r="349" spans="17:20" ht="15.75" customHeight="1" x14ac:dyDescent="0.25">
      <c r="Q349" s="1"/>
      <c r="R349" s="1"/>
      <c r="S349" s="1"/>
      <c r="T349" s="1"/>
    </row>
    <row r="350" spans="17:20" ht="15.75" customHeight="1" x14ac:dyDescent="0.25">
      <c r="Q350" s="1"/>
      <c r="R350" s="1"/>
      <c r="S350" s="1"/>
      <c r="T350" s="1"/>
    </row>
    <row r="351" spans="17:20" ht="15.75" customHeight="1" x14ac:dyDescent="0.25">
      <c r="Q351" s="1"/>
      <c r="R351" s="1"/>
      <c r="S351" s="1"/>
      <c r="T351" s="1"/>
    </row>
    <row r="352" spans="17:20" ht="15.75" customHeight="1" x14ac:dyDescent="0.25">
      <c r="Q352" s="1"/>
      <c r="R352" s="1"/>
      <c r="S352" s="1"/>
      <c r="T352" s="1"/>
    </row>
    <row r="353" spans="17:20" ht="15.75" customHeight="1" x14ac:dyDescent="0.25">
      <c r="Q353" s="1"/>
      <c r="R353" s="1"/>
      <c r="S353" s="1"/>
      <c r="T353" s="1"/>
    </row>
    <row r="354" spans="17:20" ht="15.75" customHeight="1" x14ac:dyDescent="0.25">
      <c r="Q354" s="1"/>
      <c r="R354" s="1"/>
      <c r="S354" s="1"/>
      <c r="T354" s="1"/>
    </row>
    <row r="355" spans="17:20" ht="15.75" customHeight="1" x14ac:dyDescent="0.25">
      <c r="Q355" s="1"/>
      <c r="R355" s="1"/>
      <c r="S355" s="1"/>
      <c r="T355" s="1"/>
    </row>
    <row r="356" spans="17:20" ht="15.75" customHeight="1" x14ac:dyDescent="0.25">
      <c r="Q356" s="1"/>
      <c r="R356" s="1"/>
      <c r="S356" s="1"/>
      <c r="T356" s="1"/>
    </row>
    <row r="357" spans="17:20" ht="15.75" customHeight="1" x14ac:dyDescent="0.25">
      <c r="Q357" s="1"/>
      <c r="R357" s="1"/>
      <c r="S357" s="1"/>
      <c r="T357" s="1"/>
    </row>
    <row r="358" spans="17:20" ht="15.75" customHeight="1" x14ac:dyDescent="0.25">
      <c r="Q358" s="1"/>
      <c r="R358" s="1"/>
      <c r="S358" s="1"/>
      <c r="T358" s="1"/>
    </row>
    <row r="359" spans="17:20" ht="15.75" customHeight="1" x14ac:dyDescent="0.25">
      <c r="Q359" s="1"/>
      <c r="R359" s="1"/>
      <c r="S359" s="1"/>
      <c r="T359" s="1"/>
    </row>
    <row r="360" spans="17:20" ht="15.75" customHeight="1" x14ac:dyDescent="0.25">
      <c r="Q360" s="1"/>
      <c r="R360" s="1"/>
      <c r="S360" s="1"/>
      <c r="T360" s="1"/>
    </row>
    <row r="361" spans="17:20" ht="15.75" customHeight="1" x14ac:dyDescent="0.25">
      <c r="Q361" s="1"/>
      <c r="R361" s="1"/>
      <c r="S361" s="1"/>
      <c r="T361" s="1"/>
    </row>
    <row r="362" spans="17:20" ht="15.75" customHeight="1" x14ac:dyDescent="0.25">
      <c r="Q362" s="1"/>
      <c r="R362" s="1"/>
      <c r="S362" s="1"/>
      <c r="T362" s="1"/>
    </row>
    <row r="363" spans="17:20" ht="15.75" customHeight="1" x14ac:dyDescent="0.25">
      <c r="Q363" s="1"/>
      <c r="R363" s="1"/>
      <c r="S363" s="1"/>
      <c r="T363" s="1"/>
    </row>
    <row r="364" spans="17:20" ht="15.75" customHeight="1" x14ac:dyDescent="0.25">
      <c r="Q364" s="1"/>
      <c r="R364" s="1"/>
      <c r="S364" s="1"/>
      <c r="T364" s="1"/>
    </row>
    <row r="365" spans="17:20" ht="15.75" customHeight="1" x14ac:dyDescent="0.25">
      <c r="Q365" s="1"/>
      <c r="R365" s="1"/>
      <c r="S365" s="1"/>
      <c r="T365" s="1"/>
    </row>
    <row r="366" spans="17:20" ht="15.75" customHeight="1" x14ac:dyDescent="0.25">
      <c r="Q366" s="1"/>
      <c r="R366" s="1"/>
      <c r="S366" s="1"/>
      <c r="T366" s="1"/>
    </row>
    <row r="367" spans="17:20" ht="15.75" customHeight="1" x14ac:dyDescent="0.25">
      <c r="Q367" s="1"/>
      <c r="R367" s="1"/>
      <c r="S367" s="1"/>
      <c r="T367" s="1"/>
    </row>
    <row r="368" spans="17:20" ht="15.75" customHeight="1" x14ac:dyDescent="0.25">
      <c r="Q368" s="1"/>
      <c r="R368" s="1"/>
      <c r="S368" s="1"/>
      <c r="T368" s="1"/>
    </row>
    <row r="369" spans="17:20" ht="15.75" customHeight="1" x14ac:dyDescent="0.25">
      <c r="Q369" s="1"/>
      <c r="R369" s="1"/>
      <c r="S369" s="1"/>
      <c r="T369" s="1"/>
    </row>
    <row r="370" spans="17:20" ht="15.75" customHeight="1" x14ac:dyDescent="0.25">
      <c r="Q370" s="1"/>
      <c r="R370" s="1"/>
      <c r="S370" s="1"/>
      <c r="T370" s="1"/>
    </row>
    <row r="371" spans="17:20" ht="15.75" customHeight="1" x14ac:dyDescent="0.25">
      <c r="Q371" s="1"/>
      <c r="R371" s="1"/>
      <c r="S371" s="1"/>
      <c r="T371" s="1"/>
    </row>
    <row r="372" spans="17:20" ht="15.75" customHeight="1" x14ac:dyDescent="0.25">
      <c r="Q372" s="1"/>
      <c r="R372" s="1"/>
      <c r="S372" s="1"/>
      <c r="T372" s="1"/>
    </row>
    <row r="373" spans="17:20" ht="15.75" customHeight="1" x14ac:dyDescent="0.25">
      <c r="Q373" s="1"/>
      <c r="R373" s="1"/>
      <c r="S373" s="1"/>
      <c r="T373" s="1"/>
    </row>
    <row r="374" spans="17:20" ht="15.75" customHeight="1" x14ac:dyDescent="0.25">
      <c r="Q374" s="1"/>
      <c r="R374" s="1"/>
      <c r="S374" s="1"/>
      <c r="T374" s="1"/>
    </row>
    <row r="375" spans="17:20" ht="15.75" customHeight="1" x14ac:dyDescent="0.25">
      <c r="Q375" s="1"/>
      <c r="R375" s="1"/>
      <c r="S375" s="1"/>
      <c r="T375" s="1"/>
    </row>
    <row r="376" spans="17:20" ht="15.75" customHeight="1" x14ac:dyDescent="0.25">
      <c r="Q376" s="1"/>
      <c r="R376" s="1"/>
      <c r="S376" s="1"/>
      <c r="T376" s="1"/>
    </row>
    <row r="377" spans="17:20" ht="15.75" customHeight="1" x14ac:dyDescent="0.25">
      <c r="Q377" s="1"/>
      <c r="R377" s="1"/>
      <c r="S377" s="1"/>
      <c r="T377" s="1"/>
    </row>
    <row r="378" spans="17:20" ht="15.75" customHeight="1" x14ac:dyDescent="0.25">
      <c r="Q378" s="1"/>
      <c r="R378" s="1"/>
      <c r="S378" s="1"/>
      <c r="T378" s="1"/>
    </row>
    <row r="379" spans="17:20" ht="15.75" customHeight="1" x14ac:dyDescent="0.25">
      <c r="Q379" s="1"/>
      <c r="R379" s="1"/>
      <c r="S379" s="1"/>
      <c r="T379" s="1"/>
    </row>
    <row r="380" spans="17:20" ht="15.75" customHeight="1" x14ac:dyDescent="0.25">
      <c r="Q380" s="1"/>
      <c r="R380" s="1"/>
      <c r="S380" s="1"/>
      <c r="T380" s="1"/>
    </row>
    <row r="381" spans="17:20" ht="15.75" customHeight="1" x14ac:dyDescent="0.25">
      <c r="Q381" s="1"/>
      <c r="R381" s="1"/>
      <c r="S381" s="1"/>
      <c r="T381" s="1"/>
    </row>
    <row r="382" spans="17:20" ht="15.75" customHeight="1" x14ac:dyDescent="0.25">
      <c r="Q382" s="1"/>
      <c r="R382" s="1"/>
      <c r="S382" s="1"/>
      <c r="T382" s="1"/>
    </row>
    <row r="383" spans="17:20" ht="15.75" customHeight="1" x14ac:dyDescent="0.25">
      <c r="Q383" s="1"/>
      <c r="R383" s="1"/>
      <c r="S383" s="1"/>
      <c r="T383" s="1"/>
    </row>
    <row r="384" spans="17:20" ht="15.75" customHeight="1" x14ac:dyDescent="0.25">
      <c r="Q384" s="1"/>
      <c r="R384" s="1"/>
      <c r="S384" s="1"/>
      <c r="T384" s="1"/>
    </row>
    <row r="385" spans="17:20" ht="15.75" customHeight="1" x14ac:dyDescent="0.25">
      <c r="Q385" s="1"/>
      <c r="R385" s="1"/>
      <c r="S385" s="1"/>
      <c r="T385" s="1"/>
    </row>
    <row r="386" spans="17:20" ht="15.75" customHeight="1" x14ac:dyDescent="0.25">
      <c r="Q386" s="1"/>
      <c r="R386" s="1"/>
      <c r="S386" s="1"/>
      <c r="T386" s="1"/>
    </row>
    <row r="387" spans="17:20" ht="15.75" customHeight="1" x14ac:dyDescent="0.25">
      <c r="Q387" s="1"/>
      <c r="R387" s="1"/>
      <c r="S387" s="1"/>
      <c r="T387" s="1"/>
    </row>
    <row r="388" spans="17:20" ht="15.75" customHeight="1" x14ac:dyDescent="0.25">
      <c r="Q388" s="1"/>
      <c r="R388" s="1"/>
      <c r="S388" s="1"/>
      <c r="T388" s="1"/>
    </row>
    <row r="389" spans="17:20" ht="15.75" customHeight="1" x14ac:dyDescent="0.25">
      <c r="Q389" s="1"/>
      <c r="R389" s="1"/>
      <c r="S389" s="1"/>
      <c r="T389" s="1"/>
    </row>
    <row r="390" spans="17:20" ht="15.75" customHeight="1" x14ac:dyDescent="0.25">
      <c r="Q390" s="1"/>
      <c r="R390" s="1"/>
      <c r="S390" s="1"/>
      <c r="T390" s="1"/>
    </row>
    <row r="391" spans="17:20" ht="15.75" customHeight="1" x14ac:dyDescent="0.25">
      <c r="Q391" s="1"/>
      <c r="R391" s="1"/>
      <c r="S391" s="1"/>
      <c r="T391" s="1"/>
    </row>
    <row r="392" spans="17:20" ht="15.75" customHeight="1" x14ac:dyDescent="0.25">
      <c r="Q392" s="1"/>
      <c r="R392" s="1"/>
      <c r="S392" s="1"/>
      <c r="T392" s="1"/>
    </row>
    <row r="393" spans="17:20" ht="15.75" customHeight="1" x14ac:dyDescent="0.25">
      <c r="Q393" s="1"/>
      <c r="R393" s="1"/>
      <c r="S393" s="1"/>
      <c r="T393" s="1"/>
    </row>
    <row r="394" spans="17:20" ht="15.75" customHeight="1" x14ac:dyDescent="0.25">
      <c r="Q394" s="1"/>
      <c r="R394" s="1"/>
      <c r="S394" s="1"/>
      <c r="T394" s="1"/>
    </row>
    <row r="395" spans="17:20" ht="15.75" customHeight="1" x14ac:dyDescent="0.25">
      <c r="Q395" s="1"/>
      <c r="R395" s="1"/>
      <c r="S395" s="1"/>
      <c r="T395" s="1"/>
    </row>
    <row r="396" spans="17:20" ht="15.75" customHeight="1" x14ac:dyDescent="0.25">
      <c r="Q396" s="1"/>
      <c r="R396" s="1"/>
      <c r="S396" s="1"/>
      <c r="T396" s="1"/>
    </row>
    <row r="397" spans="17:20" ht="15.75" customHeight="1" x14ac:dyDescent="0.25">
      <c r="Q397" s="1"/>
      <c r="R397" s="1"/>
      <c r="S397" s="1"/>
      <c r="T397" s="1"/>
    </row>
    <row r="398" spans="17:20" ht="15.75" customHeight="1" x14ac:dyDescent="0.25">
      <c r="Q398" s="1"/>
      <c r="R398" s="1"/>
      <c r="S398" s="1"/>
      <c r="T398" s="1"/>
    </row>
    <row r="399" spans="17:20" ht="15.75" customHeight="1" x14ac:dyDescent="0.25">
      <c r="Q399" s="1"/>
      <c r="R399" s="1"/>
      <c r="S399" s="1"/>
      <c r="T399" s="1"/>
    </row>
    <row r="400" spans="17:20" ht="15.75" customHeight="1" x14ac:dyDescent="0.25">
      <c r="Q400" s="1"/>
      <c r="R400" s="1"/>
      <c r="S400" s="1"/>
      <c r="T400" s="1"/>
    </row>
    <row r="401" spans="17:20" ht="15.75" customHeight="1" x14ac:dyDescent="0.25">
      <c r="Q401" s="1"/>
      <c r="R401" s="1"/>
      <c r="S401" s="1"/>
      <c r="T401" s="1"/>
    </row>
    <row r="402" spans="17:20" ht="15.75" customHeight="1" x14ac:dyDescent="0.25">
      <c r="Q402" s="1"/>
      <c r="R402" s="1"/>
      <c r="S402" s="1"/>
      <c r="T402" s="1"/>
    </row>
    <row r="403" spans="17:20" ht="15.75" customHeight="1" x14ac:dyDescent="0.25">
      <c r="Q403" s="1"/>
      <c r="R403" s="1"/>
      <c r="S403" s="1"/>
      <c r="T403" s="1"/>
    </row>
    <row r="404" spans="17:20" ht="15.75" customHeight="1" x14ac:dyDescent="0.25">
      <c r="Q404" s="1"/>
      <c r="R404" s="1"/>
      <c r="S404" s="1"/>
      <c r="T404" s="1"/>
    </row>
    <row r="405" spans="17:20" ht="15.75" customHeight="1" x14ac:dyDescent="0.25">
      <c r="Q405" s="1"/>
      <c r="R405" s="1"/>
      <c r="S405" s="1"/>
      <c r="T405" s="1"/>
    </row>
    <row r="406" spans="17:20" ht="15.75" customHeight="1" x14ac:dyDescent="0.25">
      <c r="Q406" s="1"/>
      <c r="R406" s="1"/>
      <c r="S406" s="1"/>
      <c r="T406" s="1"/>
    </row>
    <row r="407" spans="17:20" ht="15.75" customHeight="1" x14ac:dyDescent="0.25">
      <c r="Q407" s="1"/>
      <c r="R407" s="1"/>
      <c r="S407" s="1"/>
      <c r="T407" s="1"/>
    </row>
    <row r="408" spans="17:20" ht="15.75" customHeight="1" x14ac:dyDescent="0.25">
      <c r="Q408" s="1"/>
      <c r="R408" s="1"/>
      <c r="S408" s="1"/>
      <c r="T408" s="1"/>
    </row>
    <row r="409" spans="17:20" ht="15.75" customHeight="1" x14ac:dyDescent="0.25">
      <c r="Q409" s="1"/>
      <c r="R409" s="1"/>
      <c r="S409" s="1"/>
      <c r="T409" s="1"/>
    </row>
    <row r="410" spans="17:20" ht="15.75" customHeight="1" x14ac:dyDescent="0.25">
      <c r="Q410" s="1"/>
      <c r="R410" s="1"/>
      <c r="S410" s="1"/>
      <c r="T410" s="1"/>
    </row>
    <row r="411" spans="17:20" ht="15.75" customHeight="1" x14ac:dyDescent="0.25">
      <c r="Q411" s="1"/>
      <c r="R411" s="1"/>
      <c r="S411" s="1"/>
      <c r="T411" s="1"/>
    </row>
    <row r="412" spans="17:20" ht="15.75" customHeight="1" x14ac:dyDescent="0.25">
      <c r="Q412" s="1"/>
      <c r="R412" s="1"/>
      <c r="S412" s="1"/>
      <c r="T412" s="1"/>
    </row>
    <row r="413" spans="17:20" ht="15.75" customHeight="1" x14ac:dyDescent="0.25">
      <c r="Q413" s="1"/>
      <c r="R413" s="1"/>
      <c r="S413" s="1"/>
      <c r="T413" s="1"/>
    </row>
    <row r="414" spans="17:20" ht="15.75" customHeight="1" x14ac:dyDescent="0.25">
      <c r="Q414" s="1"/>
      <c r="R414" s="1"/>
      <c r="S414" s="1"/>
      <c r="T414" s="1"/>
    </row>
    <row r="415" spans="17:20" ht="15.75" customHeight="1" x14ac:dyDescent="0.25">
      <c r="Q415" s="1"/>
      <c r="R415" s="1"/>
      <c r="S415" s="1"/>
      <c r="T415" s="1"/>
    </row>
    <row r="416" spans="17:20" ht="15.75" customHeight="1" x14ac:dyDescent="0.25">
      <c r="Q416" s="1"/>
      <c r="R416" s="1"/>
      <c r="S416" s="1"/>
      <c r="T416" s="1"/>
    </row>
    <row r="417" spans="17:20" ht="15.75" customHeight="1" x14ac:dyDescent="0.25">
      <c r="Q417" s="1"/>
      <c r="R417" s="1"/>
      <c r="S417" s="1"/>
      <c r="T417" s="1"/>
    </row>
    <row r="418" spans="17:20" ht="15.75" customHeight="1" x14ac:dyDescent="0.25">
      <c r="Q418" s="1"/>
      <c r="R418" s="1"/>
      <c r="S418" s="1"/>
      <c r="T418" s="1"/>
    </row>
    <row r="419" spans="17:20" ht="15.75" customHeight="1" x14ac:dyDescent="0.25">
      <c r="Q419" s="1"/>
      <c r="R419" s="1"/>
      <c r="S419" s="1"/>
      <c r="T419" s="1"/>
    </row>
    <row r="420" spans="17:20" ht="15.75" customHeight="1" x14ac:dyDescent="0.25">
      <c r="Q420" s="1"/>
      <c r="R420" s="1"/>
      <c r="S420" s="1"/>
      <c r="T420" s="1"/>
    </row>
    <row r="421" spans="17:20" ht="15.75" customHeight="1" x14ac:dyDescent="0.25">
      <c r="Q421" s="1"/>
      <c r="R421" s="1"/>
      <c r="S421" s="1"/>
      <c r="T421" s="1"/>
    </row>
    <row r="422" spans="17:20" ht="15.75" customHeight="1" x14ac:dyDescent="0.25">
      <c r="Q422" s="1"/>
      <c r="R422" s="1"/>
      <c r="S422" s="1"/>
      <c r="T422" s="1"/>
    </row>
    <row r="423" spans="17:20" ht="15.75" customHeight="1" x14ac:dyDescent="0.25">
      <c r="Q423" s="1"/>
      <c r="R423" s="1"/>
      <c r="S423" s="1"/>
      <c r="T423" s="1"/>
    </row>
    <row r="424" spans="17:20" ht="15.75" customHeight="1" x14ac:dyDescent="0.25">
      <c r="Q424" s="1"/>
      <c r="R424" s="1"/>
      <c r="S424" s="1"/>
      <c r="T424" s="1"/>
    </row>
    <row r="425" spans="17:20" ht="15.75" customHeight="1" x14ac:dyDescent="0.25">
      <c r="Q425" s="1"/>
      <c r="R425" s="1"/>
      <c r="S425" s="1"/>
      <c r="T425" s="1"/>
    </row>
    <row r="426" spans="17:20" ht="15.75" customHeight="1" x14ac:dyDescent="0.25">
      <c r="Q426" s="1"/>
      <c r="R426" s="1"/>
      <c r="S426" s="1"/>
      <c r="T426" s="1"/>
    </row>
    <row r="427" spans="17:20" ht="15.75" customHeight="1" x14ac:dyDescent="0.25">
      <c r="Q427" s="1"/>
      <c r="R427" s="1"/>
      <c r="S427" s="1"/>
      <c r="T427" s="1"/>
    </row>
    <row r="428" spans="17:20" ht="15.75" customHeight="1" x14ac:dyDescent="0.25">
      <c r="Q428" s="1"/>
      <c r="R428" s="1"/>
      <c r="S428" s="1"/>
      <c r="T428" s="1"/>
    </row>
    <row r="429" spans="17:20" ht="15.75" customHeight="1" x14ac:dyDescent="0.25">
      <c r="Q429" s="1"/>
      <c r="R429" s="1"/>
      <c r="S429" s="1"/>
      <c r="T429" s="1"/>
    </row>
    <row r="430" spans="17:20" ht="15.75" customHeight="1" x14ac:dyDescent="0.25">
      <c r="Q430" s="1"/>
      <c r="R430" s="1"/>
      <c r="S430" s="1"/>
      <c r="T430" s="1"/>
    </row>
    <row r="431" spans="17:20" ht="15.75" customHeight="1" x14ac:dyDescent="0.25">
      <c r="Q431" s="1"/>
      <c r="R431" s="1"/>
      <c r="S431" s="1"/>
      <c r="T431" s="1"/>
    </row>
    <row r="432" spans="17:20" ht="15.75" customHeight="1" x14ac:dyDescent="0.25">
      <c r="Q432" s="1"/>
      <c r="R432" s="1"/>
      <c r="S432" s="1"/>
      <c r="T432" s="1"/>
    </row>
    <row r="433" spans="17:20" ht="15.75" customHeight="1" x14ac:dyDescent="0.25">
      <c r="Q433" s="1"/>
      <c r="R433" s="1"/>
      <c r="S433" s="1"/>
      <c r="T433" s="1"/>
    </row>
    <row r="434" spans="17:20" ht="15.75" customHeight="1" x14ac:dyDescent="0.25">
      <c r="Q434" s="1"/>
      <c r="R434" s="1"/>
      <c r="S434" s="1"/>
      <c r="T434" s="1"/>
    </row>
    <row r="435" spans="17:20" ht="15.75" customHeight="1" x14ac:dyDescent="0.25">
      <c r="Q435" s="1"/>
      <c r="R435" s="1"/>
      <c r="S435" s="1"/>
      <c r="T435" s="1"/>
    </row>
    <row r="436" spans="17:20" ht="15.75" customHeight="1" x14ac:dyDescent="0.25">
      <c r="Q436" s="1"/>
      <c r="R436" s="1"/>
      <c r="S436" s="1"/>
      <c r="T436" s="1"/>
    </row>
    <row r="437" spans="17:20" ht="15.75" customHeight="1" x14ac:dyDescent="0.25">
      <c r="Q437" s="1"/>
      <c r="R437" s="1"/>
      <c r="S437" s="1"/>
      <c r="T437" s="1"/>
    </row>
    <row r="438" spans="17:20" ht="15.75" customHeight="1" x14ac:dyDescent="0.25">
      <c r="Q438" s="1"/>
      <c r="R438" s="1"/>
      <c r="S438" s="1"/>
      <c r="T438" s="1"/>
    </row>
    <row r="439" spans="17:20" ht="15.75" customHeight="1" x14ac:dyDescent="0.25">
      <c r="Q439" s="1"/>
      <c r="R439" s="1"/>
      <c r="S439" s="1"/>
      <c r="T439" s="1"/>
    </row>
    <row r="440" spans="17:20" ht="15.75" customHeight="1" x14ac:dyDescent="0.25">
      <c r="Q440" s="1"/>
      <c r="R440" s="1"/>
      <c r="S440" s="1"/>
      <c r="T440" s="1"/>
    </row>
    <row r="441" spans="17:20" ht="15.75" customHeight="1" x14ac:dyDescent="0.25">
      <c r="Q441" s="1"/>
      <c r="R441" s="1"/>
      <c r="S441" s="1"/>
      <c r="T441" s="1"/>
    </row>
    <row r="442" spans="17:20" ht="15.75" customHeight="1" x14ac:dyDescent="0.25">
      <c r="Q442" s="1"/>
      <c r="R442" s="1"/>
      <c r="S442" s="1"/>
      <c r="T442" s="1"/>
    </row>
    <row r="443" spans="17:20" ht="15.75" customHeight="1" x14ac:dyDescent="0.25">
      <c r="Q443" s="1"/>
      <c r="R443" s="1"/>
      <c r="S443" s="1"/>
      <c r="T443" s="1"/>
    </row>
    <row r="444" spans="17:20" ht="15.75" customHeight="1" x14ac:dyDescent="0.25">
      <c r="Q444" s="1"/>
      <c r="R444" s="1"/>
      <c r="S444" s="1"/>
      <c r="T444" s="1"/>
    </row>
    <row r="445" spans="17:20" ht="15.75" customHeight="1" x14ac:dyDescent="0.25">
      <c r="Q445" s="1"/>
      <c r="R445" s="1"/>
      <c r="S445" s="1"/>
      <c r="T445" s="1"/>
    </row>
    <row r="446" spans="17:20" ht="15.75" customHeight="1" x14ac:dyDescent="0.25">
      <c r="Q446" s="1"/>
      <c r="R446" s="1"/>
      <c r="S446" s="1"/>
      <c r="T446" s="1"/>
    </row>
    <row r="447" spans="17:20" ht="15.75" customHeight="1" x14ac:dyDescent="0.25">
      <c r="Q447" s="1"/>
      <c r="R447" s="1"/>
      <c r="S447" s="1"/>
      <c r="T447" s="1"/>
    </row>
    <row r="448" spans="17:20" ht="15.75" customHeight="1" x14ac:dyDescent="0.25">
      <c r="Q448" s="1"/>
      <c r="R448" s="1"/>
      <c r="S448" s="1"/>
      <c r="T448" s="1"/>
    </row>
    <row r="449" spans="17:20" ht="15.75" customHeight="1" x14ac:dyDescent="0.25">
      <c r="Q449" s="1"/>
      <c r="R449" s="1"/>
      <c r="S449" s="1"/>
      <c r="T449" s="1"/>
    </row>
    <row r="450" spans="17:20" ht="15.75" customHeight="1" x14ac:dyDescent="0.25">
      <c r="Q450" s="1"/>
      <c r="R450" s="1"/>
      <c r="S450" s="1"/>
      <c r="T450" s="1"/>
    </row>
    <row r="451" spans="17:20" ht="15.75" customHeight="1" x14ac:dyDescent="0.25">
      <c r="Q451" s="1"/>
      <c r="R451" s="1"/>
      <c r="S451" s="1"/>
      <c r="T451" s="1"/>
    </row>
    <row r="452" spans="17:20" ht="15.75" customHeight="1" x14ac:dyDescent="0.25">
      <c r="Q452" s="1"/>
      <c r="R452" s="1"/>
      <c r="S452" s="1"/>
      <c r="T452" s="1"/>
    </row>
    <row r="453" spans="17:20" ht="15.75" customHeight="1" x14ac:dyDescent="0.25">
      <c r="Q453" s="1"/>
      <c r="R453" s="1"/>
      <c r="S453" s="1"/>
      <c r="T453" s="1"/>
    </row>
    <row r="454" spans="17:20" ht="15.75" customHeight="1" x14ac:dyDescent="0.25">
      <c r="Q454" s="1"/>
      <c r="R454" s="1"/>
      <c r="S454" s="1"/>
      <c r="T454" s="1"/>
    </row>
    <row r="455" spans="17:20" ht="15.75" customHeight="1" x14ac:dyDescent="0.25">
      <c r="Q455" s="1"/>
      <c r="R455" s="1"/>
      <c r="S455" s="1"/>
      <c r="T455" s="1"/>
    </row>
    <row r="456" spans="17:20" ht="15.75" customHeight="1" x14ac:dyDescent="0.25">
      <c r="Q456" s="1"/>
      <c r="R456" s="1"/>
      <c r="S456" s="1"/>
      <c r="T456" s="1"/>
    </row>
    <row r="457" spans="17:20" ht="15.75" customHeight="1" x14ac:dyDescent="0.25">
      <c r="Q457" s="1"/>
      <c r="R457" s="1"/>
      <c r="S457" s="1"/>
      <c r="T457" s="1"/>
    </row>
    <row r="458" spans="17:20" ht="15.75" customHeight="1" x14ac:dyDescent="0.25">
      <c r="Q458" s="1"/>
      <c r="R458" s="1"/>
      <c r="S458" s="1"/>
      <c r="T458" s="1"/>
    </row>
    <row r="459" spans="17:20" ht="15.75" customHeight="1" x14ac:dyDescent="0.25">
      <c r="Q459" s="1"/>
      <c r="R459" s="1"/>
      <c r="S459" s="1"/>
      <c r="T459" s="1"/>
    </row>
    <row r="460" spans="17:20" ht="15.75" customHeight="1" x14ac:dyDescent="0.25">
      <c r="Q460" s="1"/>
      <c r="R460" s="1"/>
      <c r="S460" s="1"/>
      <c r="T460" s="1"/>
    </row>
    <row r="461" spans="17:20" ht="15.75" customHeight="1" x14ac:dyDescent="0.25">
      <c r="Q461" s="1"/>
      <c r="R461" s="1"/>
      <c r="S461" s="1"/>
      <c r="T461" s="1"/>
    </row>
    <row r="462" spans="17:20" ht="15.75" customHeight="1" x14ac:dyDescent="0.25">
      <c r="Q462" s="1"/>
      <c r="R462" s="1"/>
      <c r="S462" s="1"/>
      <c r="T462" s="1"/>
    </row>
    <row r="463" spans="17:20" ht="15.75" customHeight="1" x14ac:dyDescent="0.25">
      <c r="Q463" s="1"/>
      <c r="R463" s="1"/>
      <c r="S463" s="1"/>
      <c r="T463" s="1"/>
    </row>
    <row r="464" spans="17:20" ht="15.75" customHeight="1" x14ac:dyDescent="0.25">
      <c r="Q464" s="1"/>
      <c r="R464" s="1"/>
      <c r="S464" s="1"/>
      <c r="T464" s="1"/>
    </row>
    <row r="465" spans="17:20" ht="15.75" customHeight="1" x14ac:dyDescent="0.25">
      <c r="Q465" s="1"/>
      <c r="R465" s="1"/>
      <c r="S465" s="1"/>
      <c r="T465" s="1"/>
    </row>
    <row r="466" spans="17:20" ht="15.75" customHeight="1" x14ac:dyDescent="0.25">
      <c r="Q466" s="1"/>
      <c r="R466" s="1"/>
      <c r="S466" s="1"/>
      <c r="T466" s="1"/>
    </row>
    <row r="467" spans="17:20" ht="15.75" customHeight="1" x14ac:dyDescent="0.25">
      <c r="Q467" s="1"/>
      <c r="R467" s="1"/>
      <c r="S467" s="1"/>
      <c r="T467" s="1"/>
    </row>
    <row r="468" spans="17:20" ht="15.75" customHeight="1" x14ac:dyDescent="0.25">
      <c r="Q468" s="1"/>
      <c r="R468" s="1"/>
      <c r="S468" s="1"/>
      <c r="T468" s="1"/>
    </row>
    <row r="469" spans="17:20" ht="15.75" customHeight="1" x14ac:dyDescent="0.25">
      <c r="Q469" s="1"/>
      <c r="R469" s="1"/>
      <c r="S469" s="1"/>
      <c r="T469" s="1"/>
    </row>
    <row r="470" spans="17:20" ht="15.75" customHeight="1" x14ac:dyDescent="0.25">
      <c r="Q470" s="1"/>
      <c r="R470" s="1"/>
      <c r="S470" s="1"/>
      <c r="T470" s="1"/>
    </row>
    <row r="471" spans="17:20" ht="15.75" customHeight="1" x14ac:dyDescent="0.25">
      <c r="Q471" s="1"/>
      <c r="R471" s="1"/>
      <c r="S471" s="1"/>
      <c r="T471" s="1"/>
    </row>
    <row r="472" spans="17:20" ht="15.75" customHeight="1" x14ac:dyDescent="0.25">
      <c r="Q472" s="1"/>
      <c r="R472" s="1"/>
      <c r="S472" s="1"/>
      <c r="T472" s="1"/>
    </row>
    <row r="473" spans="17:20" ht="15.75" customHeight="1" x14ac:dyDescent="0.25">
      <c r="Q473" s="1"/>
      <c r="R473" s="1"/>
      <c r="S473" s="1"/>
      <c r="T473" s="1"/>
    </row>
    <row r="474" spans="17:20" ht="15.75" customHeight="1" x14ac:dyDescent="0.25">
      <c r="Q474" s="1"/>
      <c r="R474" s="1"/>
      <c r="S474" s="1"/>
      <c r="T474" s="1"/>
    </row>
    <row r="475" spans="17:20" ht="15.75" customHeight="1" x14ac:dyDescent="0.25">
      <c r="Q475" s="1"/>
      <c r="R475" s="1"/>
      <c r="S475" s="1"/>
      <c r="T475" s="1"/>
    </row>
    <row r="476" spans="17:20" ht="15.75" customHeight="1" x14ac:dyDescent="0.25">
      <c r="Q476" s="1"/>
      <c r="R476" s="1"/>
      <c r="S476" s="1"/>
      <c r="T476" s="1"/>
    </row>
    <row r="477" spans="17:20" ht="15.75" customHeight="1" x14ac:dyDescent="0.25">
      <c r="Q477" s="1"/>
      <c r="R477" s="1"/>
      <c r="S477" s="1"/>
      <c r="T477" s="1"/>
    </row>
    <row r="478" spans="17:20" ht="15.75" customHeight="1" x14ac:dyDescent="0.25">
      <c r="Q478" s="1"/>
      <c r="R478" s="1"/>
      <c r="S478" s="1"/>
      <c r="T478" s="1"/>
    </row>
    <row r="479" spans="17:20" ht="15.75" customHeight="1" x14ac:dyDescent="0.25">
      <c r="Q479" s="1"/>
      <c r="R479" s="1"/>
      <c r="S479" s="1"/>
      <c r="T479" s="1"/>
    </row>
    <row r="480" spans="17:20" ht="15.75" customHeight="1" x14ac:dyDescent="0.25">
      <c r="Q480" s="1"/>
      <c r="R480" s="1"/>
      <c r="S480" s="1"/>
      <c r="T480" s="1"/>
    </row>
    <row r="481" spans="17:20" ht="15.75" customHeight="1" x14ac:dyDescent="0.25">
      <c r="Q481" s="1"/>
      <c r="R481" s="1"/>
      <c r="S481" s="1"/>
      <c r="T481" s="1"/>
    </row>
    <row r="482" spans="17:20" ht="15.75" customHeight="1" x14ac:dyDescent="0.25">
      <c r="Q482" s="1"/>
      <c r="R482" s="1"/>
      <c r="S482" s="1"/>
      <c r="T482" s="1"/>
    </row>
    <row r="483" spans="17:20" ht="15.75" customHeight="1" x14ac:dyDescent="0.25">
      <c r="Q483" s="1"/>
      <c r="R483" s="1"/>
      <c r="S483" s="1"/>
      <c r="T483" s="1"/>
    </row>
    <row r="484" spans="17:20" ht="15.75" customHeight="1" x14ac:dyDescent="0.25">
      <c r="Q484" s="1"/>
      <c r="R484" s="1"/>
      <c r="S484" s="1"/>
      <c r="T484" s="1"/>
    </row>
    <row r="485" spans="17:20" ht="15.75" customHeight="1" x14ac:dyDescent="0.25">
      <c r="Q485" s="1"/>
      <c r="R485" s="1"/>
      <c r="S485" s="1"/>
      <c r="T485" s="1"/>
    </row>
    <row r="486" spans="17:20" ht="15.75" customHeight="1" x14ac:dyDescent="0.25">
      <c r="Q486" s="1"/>
      <c r="R486" s="1"/>
      <c r="S486" s="1"/>
      <c r="T486" s="1"/>
    </row>
    <row r="487" spans="17:20" ht="15.75" customHeight="1" x14ac:dyDescent="0.25">
      <c r="Q487" s="1"/>
      <c r="R487" s="1"/>
      <c r="S487" s="1"/>
      <c r="T487" s="1"/>
    </row>
    <row r="488" spans="17:20" ht="15.75" customHeight="1" x14ac:dyDescent="0.25">
      <c r="Q488" s="1"/>
      <c r="R488" s="1"/>
      <c r="S488" s="1"/>
      <c r="T488" s="1"/>
    </row>
    <row r="489" spans="17:20" ht="15.75" customHeight="1" x14ac:dyDescent="0.25">
      <c r="Q489" s="1"/>
      <c r="R489" s="1"/>
      <c r="S489" s="1"/>
      <c r="T489" s="1"/>
    </row>
    <row r="490" spans="17:20" ht="15.75" customHeight="1" x14ac:dyDescent="0.25">
      <c r="Q490" s="1"/>
      <c r="R490" s="1"/>
      <c r="S490" s="1"/>
      <c r="T490" s="1"/>
    </row>
    <row r="491" spans="17:20" ht="15.75" customHeight="1" x14ac:dyDescent="0.25">
      <c r="Q491" s="1"/>
      <c r="R491" s="1"/>
      <c r="S491" s="1"/>
      <c r="T491" s="1"/>
    </row>
    <row r="492" spans="17:20" ht="15.75" customHeight="1" x14ac:dyDescent="0.25">
      <c r="Q492" s="1"/>
      <c r="R492" s="1"/>
      <c r="S492" s="1"/>
      <c r="T492" s="1"/>
    </row>
    <row r="493" spans="17:20" ht="15.75" customHeight="1" x14ac:dyDescent="0.25">
      <c r="Q493" s="1"/>
      <c r="R493" s="1"/>
      <c r="S493" s="1"/>
      <c r="T493" s="1"/>
    </row>
    <row r="494" spans="17:20" ht="15.75" customHeight="1" x14ac:dyDescent="0.25">
      <c r="Q494" s="1"/>
      <c r="R494" s="1"/>
      <c r="S494" s="1"/>
      <c r="T494" s="1"/>
    </row>
    <row r="495" spans="17:20" ht="15.75" customHeight="1" x14ac:dyDescent="0.25">
      <c r="Q495" s="1"/>
      <c r="R495" s="1"/>
      <c r="S495" s="1"/>
      <c r="T495" s="1"/>
    </row>
    <row r="496" spans="17:20" ht="15.75" customHeight="1" x14ac:dyDescent="0.25">
      <c r="Q496" s="1"/>
      <c r="R496" s="1"/>
      <c r="S496" s="1"/>
      <c r="T496" s="1"/>
    </row>
    <row r="497" spans="17:20" ht="15.75" customHeight="1" x14ac:dyDescent="0.25">
      <c r="Q497" s="1"/>
      <c r="R497" s="1"/>
      <c r="S497" s="1"/>
      <c r="T497" s="1"/>
    </row>
    <row r="498" spans="17:20" ht="15.75" customHeight="1" x14ac:dyDescent="0.25">
      <c r="Q498" s="1"/>
      <c r="R498" s="1"/>
      <c r="S498" s="1"/>
      <c r="T498" s="1"/>
    </row>
    <row r="499" spans="17:20" ht="15.75" customHeight="1" x14ac:dyDescent="0.25">
      <c r="Q499" s="1"/>
      <c r="R499" s="1"/>
      <c r="S499" s="1"/>
      <c r="T499" s="1"/>
    </row>
    <row r="500" spans="17:20" ht="15.75" customHeight="1" x14ac:dyDescent="0.25">
      <c r="Q500" s="1"/>
      <c r="R500" s="1"/>
      <c r="S500" s="1"/>
      <c r="T500" s="1"/>
    </row>
    <row r="501" spans="17:20" ht="15.75" customHeight="1" x14ac:dyDescent="0.25">
      <c r="Q501" s="1"/>
      <c r="R501" s="1"/>
      <c r="S501" s="1"/>
      <c r="T501" s="1"/>
    </row>
    <row r="502" spans="17:20" ht="15.75" customHeight="1" x14ac:dyDescent="0.25">
      <c r="Q502" s="1"/>
      <c r="R502" s="1"/>
      <c r="S502" s="1"/>
      <c r="T502" s="1"/>
    </row>
    <row r="503" spans="17:20" ht="15.75" customHeight="1" x14ac:dyDescent="0.25">
      <c r="Q503" s="1"/>
      <c r="R503" s="1"/>
      <c r="S503" s="1"/>
      <c r="T503" s="1"/>
    </row>
    <row r="504" spans="17:20" ht="15.75" customHeight="1" x14ac:dyDescent="0.25">
      <c r="Q504" s="1"/>
      <c r="R504" s="1"/>
      <c r="S504" s="1"/>
      <c r="T504" s="1"/>
    </row>
    <row r="505" spans="17:20" ht="15.75" customHeight="1" x14ac:dyDescent="0.25">
      <c r="Q505" s="1"/>
      <c r="R505" s="1"/>
      <c r="S505" s="1"/>
      <c r="T505" s="1"/>
    </row>
    <row r="506" spans="17:20" ht="15.75" customHeight="1" x14ac:dyDescent="0.25">
      <c r="Q506" s="1"/>
      <c r="R506" s="1"/>
      <c r="S506" s="1"/>
      <c r="T506" s="1"/>
    </row>
    <row r="507" spans="17:20" ht="15.75" customHeight="1" x14ac:dyDescent="0.25">
      <c r="Q507" s="1"/>
      <c r="R507" s="1"/>
      <c r="S507" s="1"/>
      <c r="T507" s="1"/>
    </row>
    <row r="508" spans="17:20" ht="15.75" customHeight="1" x14ac:dyDescent="0.25">
      <c r="Q508" s="1"/>
      <c r="R508" s="1"/>
      <c r="S508" s="1"/>
      <c r="T508" s="1"/>
    </row>
    <row r="509" spans="17:20" ht="15.75" customHeight="1" x14ac:dyDescent="0.25">
      <c r="Q509" s="1"/>
      <c r="R509" s="1"/>
      <c r="S509" s="1"/>
      <c r="T509" s="1"/>
    </row>
    <row r="510" spans="17:20" ht="15.75" customHeight="1" x14ac:dyDescent="0.25">
      <c r="Q510" s="1"/>
      <c r="R510" s="1"/>
      <c r="S510" s="1"/>
      <c r="T510" s="1"/>
    </row>
    <row r="511" spans="17:20" ht="15.75" customHeight="1" x14ac:dyDescent="0.25">
      <c r="Q511" s="1"/>
      <c r="R511" s="1"/>
      <c r="S511" s="1"/>
      <c r="T511" s="1"/>
    </row>
    <row r="512" spans="17:20" ht="15.75" customHeight="1" x14ac:dyDescent="0.25">
      <c r="Q512" s="1"/>
      <c r="R512" s="1"/>
      <c r="S512" s="1"/>
      <c r="T512" s="1"/>
    </row>
    <row r="513" spans="17:20" ht="15.75" customHeight="1" x14ac:dyDescent="0.25">
      <c r="Q513" s="1"/>
      <c r="R513" s="1"/>
      <c r="S513" s="1"/>
      <c r="T513" s="1"/>
    </row>
    <row r="514" spans="17:20" ht="15.75" customHeight="1" x14ac:dyDescent="0.25">
      <c r="Q514" s="1"/>
      <c r="R514" s="1"/>
      <c r="S514" s="1"/>
      <c r="T514" s="1"/>
    </row>
    <row r="515" spans="17:20" ht="15.75" customHeight="1" x14ac:dyDescent="0.25">
      <c r="Q515" s="1"/>
      <c r="R515" s="1"/>
      <c r="S515" s="1"/>
      <c r="T515" s="1"/>
    </row>
    <row r="516" spans="17:20" ht="15.75" customHeight="1" x14ac:dyDescent="0.25">
      <c r="Q516" s="1"/>
      <c r="R516" s="1"/>
      <c r="S516" s="1"/>
      <c r="T516" s="1"/>
    </row>
    <row r="517" spans="17:20" ht="15.75" customHeight="1" x14ac:dyDescent="0.25">
      <c r="Q517" s="1"/>
      <c r="R517" s="1"/>
      <c r="S517" s="1"/>
      <c r="T517" s="1"/>
    </row>
    <row r="518" spans="17:20" ht="15.75" customHeight="1" x14ac:dyDescent="0.25">
      <c r="Q518" s="1"/>
      <c r="R518" s="1"/>
      <c r="S518" s="1"/>
      <c r="T518" s="1"/>
    </row>
    <row r="519" spans="17:20" ht="15.75" customHeight="1" x14ac:dyDescent="0.25">
      <c r="Q519" s="1"/>
      <c r="R519" s="1"/>
      <c r="S519" s="1"/>
      <c r="T519" s="1"/>
    </row>
    <row r="520" spans="17:20" ht="15.75" customHeight="1" x14ac:dyDescent="0.25">
      <c r="Q520" s="1"/>
      <c r="R520" s="1"/>
      <c r="S520" s="1"/>
      <c r="T520" s="1"/>
    </row>
    <row r="521" spans="17:20" ht="15.75" customHeight="1" x14ac:dyDescent="0.25">
      <c r="Q521" s="1"/>
      <c r="R521" s="1"/>
      <c r="S521" s="1"/>
      <c r="T521" s="1"/>
    </row>
    <row r="522" spans="17:20" ht="15.75" customHeight="1" x14ac:dyDescent="0.25">
      <c r="Q522" s="1"/>
      <c r="R522" s="1"/>
      <c r="S522" s="1"/>
      <c r="T522" s="1"/>
    </row>
    <row r="523" spans="17:20" ht="15.75" customHeight="1" x14ac:dyDescent="0.25">
      <c r="Q523" s="1"/>
      <c r="R523" s="1"/>
      <c r="S523" s="1"/>
      <c r="T523" s="1"/>
    </row>
    <row r="524" spans="17:20" ht="15.75" customHeight="1" x14ac:dyDescent="0.25">
      <c r="Q524" s="1"/>
      <c r="R524" s="1"/>
      <c r="S524" s="1"/>
      <c r="T524" s="1"/>
    </row>
    <row r="525" spans="17:20" ht="15.75" customHeight="1" x14ac:dyDescent="0.25">
      <c r="Q525" s="1"/>
      <c r="R525" s="1"/>
      <c r="S525" s="1"/>
      <c r="T525" s="1"/>
    </row>
    <row r="526" spans="17:20" ht="15.75" customHeight="1" x14ac:dyDescent="0.25">
      <c r="Q526" s="1"/>
      <c r="R526" s="1"/>
      <c r="S526" s="1"/>
      <c r="T526" s="1"/>
    </row>
    <row r="527" spans="17:20" ht="15.75" customHeight="1" x14ac:dyDescent="0.25">
      <c r="Q527" s="1"/>
      <c r="R527" s="1"/>
      <c r="S527" s="1"/>
      <c r="T527" s="1"/>
    </row>
    <row r="528" spans="17:20" ht="15.75" customHeight="1" x14ac:dyDescent="0.25">
      <c r="Q528" s="1"/>
      <c r="R528" s="1"/>
      <c r="S528" s="1"/>
      <c r="T528" s="1"/>
    </row>
    <row r="529" spans="17:20" ht="15.75" customHeight="1" x14ac:dyDescent="0.25">
      <c r="Q529" s="1"/>
      <c r="R529" s="1"/>
      <c r="S529" s="1"/>
      <c r="T529" s="1"/>
    </row>
    <row r="530" spans="17:20" ht="15.75" customHeight="1" x14ac:dyDescent="0.25">
      <c r="Q530" s="1"/>
      <c r="R530" s="1"/>
      <c r="S530" s="1"/>
      <c r="T530" s="1"/>
    </row>
    <row r="531" spans="17:20" ht="15.75" customHeight="1" x14ac:dyDescent="0.25">
      <c r="Q531" s="1"/>
      <c r="R531" s="1"/>
      <c r="S531" s="1"/>
      <c r="T531" s="1"/>
    </row>
    <row r="532" spans="17:20" ht="15.75" customHeight="1" x14ac:dyDescent="0.25">
      <c r="Q532" s="1"/>
      <c r="R532" s="1"/>
      <c r="S532" s="1"/>
      <c r="T532" s="1"/>
    </row>
    <row r="533" spans="17:20" ht="15.75" customHeight="1" x14ac:dyDescent="0.25">
      <c r="Q533" s="1"/>
      <c r="R533" s="1"/>
      <c r="S533" s="1"/>
      <c r="T533" s="1"/>
    </row>
    <row r="534" spans="17:20" ht="15.75" customHeight="1" x14ac:dyDescent="0.25">
      <c r="Q534" s="1"/>
      <c r="R534" s="1"/>
      <c r="S534" s="1"/>
      <c r="T534" s="1"/>
    </row>
    <row r="535" spans="17:20" ht="15.75" customHeight="1" x14ac:dyDescent="0.25">
      <c r="Q535" s="1"/>
      <c r="R535" s="1"/>
      <c r="S535" s="1"/>
      <c r="T535" s="1"/>
    </row>
    <row r="536" spans="17:20" ht="15.75" customHeight="1" x14ac:dyDescent="0.25">
      <c r="Q536" s="1"/>
      <c r="R536" s="1"/>
      <c r="S536" s="1"/>
      <c r="T536" s="1"/>
    </row>
    <row r="537" spans="17:20" ht="15.75" customHeight="1" x14ac:dyDescent="0.25">
      <c r="Q537" s="1"/>
      <c r="R537" s="1"/>
      <c r="S537" s="1"/>
      <c r="T537" s="1"/>
    </row>
    <row r="538" spans="17:20" ht="15.75" customHeight="1" x14ac:dyDescent="0.25">
      <c r="Q538" s="1"/>
      <c r="R538" s="1"/>
      <c r="S538" s="1"/>
      <c r="T538" s="1"/>
    </row>
    <row r="539" spans="17:20" ht="15.75" customHeight="1" x14ac:dyDescent="0.25">
      <c r="Q539" s="1"/>
      <c r="R539" s="1"/>
      <c r="S539" s="1"/>
      <c r="T539" s="1"/>
    </row>
    <row r="540" spans="17:20" ht="15.75" customHeight="1" x14ac:dyDescent="0.25">
      <c r="Q540" s="1"/>
      <c r="R540" s="1"/>
      <c r="S540" s="1"/>
      <c r="T540" s="1"/>
    </row>
    <row r="541" spans="17:20" ht="15.75" customHeight="1" x14ac:dyDescent="0.25">
      <c r="Q541" s="1"/>
      <c r="R541" s="1"/>
      <c r="S541" s="1"/>
      <c r="T541" s="1"/>
    </row>
    <row r="542" spans="17:20" ht="15.75" customHeight="1" x14ac:dyDescent="0.25">
      <c r="Q542" s="1"/>
      <c r="R542" s="1"/>
      <c r="S542" s="1"/>
      <c r="T542" s="1"/>
    </row>
    <row r="543" spans="17:20" ht="15.75" customHeight="1" x14ac:dyDescent="0.25">
      <c r="Q543" s="1"/>
      <c r="R543" s="1"/>
      <c r="S543" s="1"/>
      <c r="T543" s="1"/>
    </row>
    <row r="544" spans="17:20" ht="15.75" customHeight="1" x14ac:dyDescent="0.25">
      <c r="Q544" s="1"/>
      <c r="R544" s="1"/>
      <c r="S544" s="1"/>
      <c r="T544" s="1"/>
    </row>
    <row r="545" spans="17:20" ht="15.75" customHeight="1" x14ac:dyDescent="0.25">
      <c r="Q545" s="1"/>
      <c r="R545" s="1"/>
      <c r="S545" s="1"/>
      <c r="T545" s="1"/>
    </row>
    <row r="546" spans="17:20" ht="15.75" customHeight="1" x14ac:dyDescent="0.25">
      <c r="Q546" s="1"/>
      <c r="R546" s="1"/>
      <c r="S546" s="1"/>
      <c r="T546" s="1"/>
    </row>
    <row r="547" spans="17:20" ht="15.75" customHeight="1" x14ac:dyDescent="0.25">
      <c r="Q547" s="1"/>
      <c r="R547" s="1"/>
      <c r="S547" s="1"/>
      <c r="T547" s="1"/>
    </row>
    <row r="548" spans="17:20" ht="15.75" customHeight="1" x14ac:dyDescent="0.25">
      <c r="Q548" s="1"/>
      <c r="R548" s="1"/>
      <c r="S548" s="1"/>
      <c r="T548" s="1"/>
    </row>
    <row r="549" spans="17:20" ht="15.75" customHeight="1" x14ac:dyDescent="0.25">
      <c r="Q549" s="1"/>
      <c r="R549" s="1"/>
      <c r="S549" s="1"/>
      <c r="T549" s="1"/>
    </row>
    <row r="550" spans="17:20" ht="15.75" customHeight="1" x14ac:dyDescent="0.25">
      <c r="Q550" s="1"/>
      <c r="R550" s="1"/>
      <c r="S550" s="1"/>
      <c r="T550" s="1"/>
    </row>
    <row r="551" spans="17:20" ht="15.75" customHeight="1" x14ac:dyDescent="0.25">
      <c r="Q551" s="1"/>
      <c r="R551" s="1"/>
      <c r="S551" s="1"/>
      <c r="T551" s="1"/>
    </row>
    <row r="552" spans="17:20" ht="15.75" customHeight="1" x14ac:dyDescent="0.25">
      <c r="Q552" s="1"/>
      <c r="R552" s="1"/>
      <c r="S552" s="1"/>
      <c r="T552" s="1"/>
    </row>
    <row r="553" spans="17:20" ht="15.75" customHeight="1" x14ac:dyDescent="0.25">
      <c r="Q553" s="1"/>
      <c r="R553" s="1"/>
      <c r="S553" s="1"/>
      <c r="T553" s="1"/>
    </row>
    <row r="554" spans="17:20" ht="15.75" customHeight="1" x14ac:dyDescent="0.25">
      <c r="Q554" s="1"/>
      <c r="R554" s="1"/>
      <c r="S554" s="1"/>
      <c r="T554" s="1"/>
    </row>
    <row r="555" spans="17:20" ht="15.75" customHeight="1" x14ac:dyDescent="0.25">
      <c r="Q555" s="1"/>
      <c r="R555" s="1"/>
      <c r="S555" s="1"/>
      <c r="T555" s="1"/>
    </row>
    <row r="556" spans="17:20" ht="15.75" customHeight="1" x14ac:dyDescent="0.25">
      <c r="Q556" s="1"/>
      <c r="R556" s="1"/>
      <c r="S556" s="1"/>
      <c r="T556" s="1"/>
    </row>
    <row r="557" spans="17:20" ht="15.75" customHeight="1" x14ac:dyDescent="0.25">
      <c r="Q557" s="1"/>
      <c r="R557" s="1"/>
      <c r="S557" s="1"/>
      <c r="T557" s="1"/>
    </row>
    <row r="558" spans="17:20" ht="15.75" customHeight="1" x14ac:dyDescent="0.25">
      <c r="Q558" s="1"/>
      <c r="R558" s="1"/>
      <c r="S558" s="1"/>
      <c r="T558" s="1"/>
    </row>
    <row r="559" spans="17:20" ht="15.75" customHeight="1" x14ac:dyDescent="0.25">
      <c r="Q559" s="1"/>
      <c r="R559" s="1"/>
      <c r="S559" s="1"/>
      <c r="T559" s="1"/>
    </row>
    <row r="560" spans="17:20" ht="15.75" customHeight="1" x14ac:dyDescent="0.25">
      <c r="Q560" s="1"/>
      <c r="R560" s="1"/>
      <c r="S560" s="1"/>
      <c r="T560" s="1"/>
    </row>
    <row r="561" spans="17:20" ht="15.75" customHeight="1" x14ac:dyDescent="0.25">
      <c r="Q561" s="1"/>
      <c r="R561" s="1"/>
      <c r="S561" s="1"/>
      <c r="T561" s="1"/>
    </row>
    <row r="562" spans="17:20" ht="15.75" customHeight="1" x14ac:dyDescent="0.25">
      <c r="Q562" s="1"/>
      <c r="R562" s="1"/>
      <c r="S562" s="1"/>
      <c r="T562" s="1"/>
    </row>
    <row r="563" spans="17:20" ht="15.75" customHeight="1" x14ac:dyDescent="0.25">
      <c r="Q563" s="1"/>
      <c r="R563" s="1"/>
      <c r="S563" s="1"/>
      <c r="T563" s="1"/>
    </row>
    <row r="564" spans="17:20" ht="15.75" customHeight="1" x14ac:dyDescent="0.25">
      <c r="Q564" s="1"/>
      <c r="R564" s="1"/>
      <c r="S564" s="1"/>
      <c r="T564" s="1"/>
    </row>
    <row r="565" spans="17:20" ht="15.75" customHeight="1" x14ac:dyDescent="0.25">
      <c r="Q565" s="1"/>
      <c r="R565" s="1"/>
      <c r="S565" s="1"/>
      <c r="T565" s="1"/>
    </row>
    <row r="566" spans="17:20" ht="15.75" customHeight="1" x14ac:dyDescent="0.25">
      <c r="Q566" s="1"/>
      <c r="R566" s="1"/>
      <c r="S566" s="1"/>
      <c r="T566" s="1"/>
    </row>
    <row r="567" spans="17:20" ht="15.75" customHeight="1" x14ac:dyDescent="0.25">
      <c r="Q567" s="1"/>
      <c r="R567" s="1"/>
      <c r="S567" s="1"/>
      <c r="T567" s="1"/>
    </row>
    <row r="568" spans="17:20" ht="15.75" customHeight="1" x14ac:dyDescent="0.25">
      <c r="Q568" s="1"/>
      <c r="R568" s="1"/>
      <c r="S568" s="1"/>
      <c r="T568" s="1"/>
    </row>
    <row r="569" spans="17:20" ht="15.75" customHeight="1" x14ac:dyDescent="0.25">
      <c r="Q569" s="1"/>
      <c r="R569" s="1"/>
      <c r="S569" s="1"/>
      <c r="T569" s="1"/>
    </row>
    <row r="570" spans="17:20" ht="15.75" customHeight="1" x14ac:dyDescent="0.25">
      <c r="Q570" s="1"/>
      <c r="R570" s="1"/>
      <c r="S570" s="1"/>
      <c r="T570" s="1"/>
    </row>
    <row r="571" spans="17:20" ht="15.75" customHeight="1" x14ac:dyDescent="0.25">
      <c r="Q571" s="1"/>
      <c r="R571" s="1"/>
      <c r="S571" s="1"/>
      <c r="T571" s="1"/>
    </row>
    <row r="572" spans="17:20" ht="15.75" customHeight="1" x14ac:dyDescent="0.25">
      <c r="Q572" s="1"/>
      <c r="R572" s="1"/>
      <c r="S572" s="1"/>
      <c r="T572" s="1"/>
    </row>
    <row r="573" spans="17:20" ht="15.75" customHeight="1" x14ac:dyDescent="0.25">
      <c r="Q573" s="1"/>
      <c r="R573" s="1"/>
      <c r="S573" s="1"/>
      <c r="T573" s="1"/>
    </row>
    <row r="574" spans="17:20" ht="15.75" customHeight="1" x14ac:dyDescent="0.25">
      <c r="Q574" s="1"/>
      <c r="R574" s="1"/>
      <c r="S574" s="1"/>
      <c r="T574" s="1"/>
    </row>
    <row r="575" spans="17:20" ht="15.75" customHeight="1" x14ac:dyDescent="0.25">
      <c r="Q575" s="1"/>
      <c r="R575" s="1"/>
      <c r="S575" s="1"/>
      <c r="T575" s="1"/>
    </row>
    <row r="576" spans="17:20" ht="15.75" customHeight="1" x14ac:dyDescent="0.25">
      <c r="Q576" s="1"/>
      <c r="R576" s="1"/>
      <c r="S576" s="1"/>
      <c r="T576" s="1"/>
    </row>
    <row r="577" spans="17:20" ht="15.75" customHeight="1" x14ac:dyDescent="0.25">
      <c r="Q577" s="1"/>
      <c r="R577" s="1"/>
      <c r="S577" s="1"/>
      <c r="T577" s="1"/>
    </row>
    <row r="578" spans="17:20" ht="15.75" customHeight="1" x14ac:dyDescent="0.25">
      <c r="Q578" s="1"/>
      <c r="R578" s="1"/>
      <c r="S578" s="1"/>
      <c r="T578" s="1"/>
    </row>
    <row r="579" spans="17:20" ht="15.75" customHeight="1" x14ac:dyDescent="0.25">
      <c r="Q579" s="1"/>
      <c r="R579" s="1"/>
      <c r="S579" s="1"/>
      <c r="T579" s="1"/>
    </row>
    <row r="580" spans="17:20" ht="15.75" customHeight="1" x14ac:dyDescent="0.25">
      <c r="Q580" s="1"/>
      <c r="R580" s="1"/>
      <c r="S580" s="1"/>
      <c r="T580" s="1"/>
    </row>
    <row r="581" spans="17:20" ht="15.75" customHeight="1" x14ac:dyDescent="0.25">
      <c r="Q581" s="1"/>
      <c r="R581" s="1"/>
      <c r="S581" s="1"/>
      <c r="T581" s="1"/>
    </row>
    <row r="582" spans="17:20" ht="15.75" customHeight="1" x14ac:dyDescent="0.25">
      <c r="Q582" s="1"/>
      <c r="R582" s="1"/>
      <c r="S582" s="1"/>
      <c r="T582" s="1"/>
    </row>
    <row r="583" spans="17:20" ht="15.75" customHeight="1" x14ac:dyDescent="0.25">
      <c r="Q583" s="1"/>
      <c r="R583" s="1"/>
      <c r="S583" s="1"/>
      <c r="T583" s="1"/>
    </row>
    <row r="584" spans="17:20" ht="15.75" customHeight="1" x14ac:dyDescent="0.25">
      <c r="Q584" s="1"/>
      <c r="R584" s="1"/>
      <c r="S584" s="1"/>
      <c r="T584" s="1"/>
    </row>
    <row r="585" spans="17:20" ht="15.75" customHeight="1" x14ac:dyDescent="0.25">
      <c r="Q585" s="1"/>
      <c r="R585" s="1"/>
      <c r="S585" s="1"/>
      <c r="T585" s="1"/>
    </row>
    <row r="586" spans="17:20" ht="15.75" customHeight="1" x14ac:dyDescent="0.25">
      <c r="Q586" s="1"/>
      <c r="R586" s="1"/>
      <c r="S586" s="1"/>
      <c r="T586" s="1"/>
    </row>
    <row r="587" spans="17:20" ht="15.75" customHeight="1" x14ac:dyDescent="0.25">
      <c r="Q587" s="1"/>
      <c r="R587" s="1"/>
      <c r="S587" s="1"/>
      <c r="T587" s="1"/>
    </row>
    <row r="588" spans="17:20" ht="15.75" customHeight="1" x14ac:dyDescent="0.25">
      <c r="Q588" s="1"/>
      <c r="R588" s="1"/>
      <c r="S588" s="1"/>
      <c r="T588" s="1"/>
    </row>
    <row r="589" spans="17:20" ht="15.75" customHeight="1" x14ac:dyDescent="0.25">
      <c r="Q589" s="1"/>
      <c r="R589" s="1"/>
      <c r="S589" s="1"/>
      <c r="T589" s="1"/>
    </row>
    <row r="590" spans="17:20" ht="15.75" customHeight="1" x14ac:dyDescent="0.25">
      <c r="Q590" s="1"/>
      <c r="R590" s="1"/>
      <c r="S590" s="1"/>
      <c r="T590" s="1"/>
    </row>
    <row r="591" spans="17:20" ht="15.75" customHeight="1" x14ac:dyDescent="0.25">
      <c r="Q591" s="1"/>
      <c r="R591" s="1"/>
      <c r="S591" s="1"/>
      <c r="T591" s="1"/>
    </row>
    <row r="592" spans="17:20" ht="15.75" customHeight="1" x14ac:dyDescent="0.25">
      <c r="Q592" s="1"/>
      <c r="R592" s="1"/>
      <c r="S592" s="1"/>
      <c r="T592" s="1"/>
    </row>
    <row r="593" spans="17:20" ht="15.75" customHeight="1" x14ac:dyDescent="0.25">
      <c r="Q593" s="1"/>
      <c r="R593" s="1"/>
      <c r="S593" s="1"/>
      <c r="T593" s="1"/>
    </row>
    <row r="594" spans="17:20" ht="15.75" customHeight="1" x14ac:dyDescent="0.25">
      <c r="Q594" s="1"/>
      <c r="R594" s="1"/>
      <c r="S594" s="1"/>
      <c r="T594" s="1"/>
    </row>
    <row r="595" spans="17:20" ht="15.75" customHeight="1" x14ac:dyDescent="0.25">
      <c r="Q595" s="1"/>
      <c r="R595" s="1"/>
      <c r="S595" s="1"/>
      <c r="T595" s="1"/>
    </row>
    <row r="596" spans="17:20" ht="15.75" customHeight="1" x14ac:dyDescent="0.25">
      <c r="Q596" s="1"/>
      <c r="R596" s="1"/>
      <c r="S596" s="1"/>
      <c r="T596" s="1"/>
    </row>
    <row r="597" spans="17:20" ht="15.75" customHeight="1" x14ac:dyDescent="0.25">
      <c r="Q597" s="1"/>
      <c r="R597" s="1"/>
      <c r="S597" s="1"/>
      <c r="T597" s="1"/>
    </row>
    <row r="598" spans="17:20" ht="15.75" customHeight="1" x14ac:dyDescent="0.25">
      <c r="Q598" s="1"/>
      <c r="R598" s="1"/>
      <c r="S598" s="1"/>
      <c r="T598" s="1"/>
    </row>
    <row r="599" spans="17:20" ht="15.75" customHeight="1" x14ac:dyDescent="0.25">
      <c r="Q599" s="1"/>
      <c r="R599" s="1"/>
      <c r="S599" s="1"/>
      <c r="T599" s="1"/>
    </row>
    <row r="600" spans="17:20" ht="15.75" customHeight="1" x14ac:dyDescent="0.25">
      <c r="Q600" s="1"/>
      <c r="R600" s="1"/>
      <c r="S600" s="1"/>
      <c r="T600" s="1"/>
    </row>
    <row r="601" spans="17:20" ht="15.75" customHeight="1" x14ac:dyDescent="0.25">
      <c r="Q601" s="1"/>
      <c r="R601" s="1"/>
      <c r="S601" s="1"/>
      <c r="T601" s="1"/>
    </row>
    <row r="602" spans="17:20" ht="15.75" customHeight="1" x14ac:dyDescent="0.25">
      <c r="Q602" s="1"/>
      <c r="R602" s="1"/>
      <c r="S602" s="1"/>
      <c r="T602" s="1"/>
    </row>
    <row r="603" spans="17:20" ht="15.75" customHeight="1" x14ac:dyDescent="0.25">
      <c r="Q603" s="1"/>
      <c r="R603" s="1"/>
      <c r="S603" s="1"/>
      <c r="T603" s="1"/>
    </row>
    <row r="604" spans="17:20" ht="15.75" customHeight="1" x14ac:dyDescent="0.25">
      <c r="Q604" s="1"/>
      <c r="R604" s="1"/>
      <c r="S604" s="1"/>
      <c r="T604" s="1"/>
    </row>
    <row r="605" spans="17:20" ht="15.75" customHeight="1" x14ac:dyDescent="0.25">
      <c r="Q605" s="1"/>
      <c r="R605" s="1"/>
      <c r="S605" s="1"/>
      <c r="T605" s="1"/>
    </row>
    <row r="606" spans="17:20" ht="15.75" customHeight="1" x14ac:dyDescent="0.25">
      <c r="Q606" s="1"/>
      <c r="R606" s="1"/>
      <c r="S606" s="1"/>
      <c r="T606" s="1"/>
    </row>
    <row r="607" spans="17:20" ht="15.75" customHeight="1" x14ac:dyDescent="0.25">
      <c r="Q607" s="1"/>
      <c r="R607" s="1"/>
      <c r="S607" s="1"/>
      <c r="T607" s="1"/>
    </row>
    <row r="608" spans="17:20" ht="15.75" customHeight="1" x14ac:dyDescent="0.25">
      <c r="Q608" s="1"/>
      <c r="R608" s="1"/>
      <c r="S608" s="1"/>
      <c r="T608" s="1"/>
    </row>
    <row r="609" spans="17:20" ht="15.75" customHeight="1" x14ac:dyDescent="0.25">
      <c r="Q609" s="1"/>
      <c r="R609" s="1"/>
      <c r="S609" s="1"/>
      <c r="T609" s="1"/>
    </row>
    <row r="610" spans="17:20" ht="15.75" customHeight="1" x14ac:dyDescent="0.25">
      <c r="Q610" s="1"/>
      <c r="R610" s="1"/>
      <c r="S610" s="1"/>
      <c r="T610" s="1"/>
    </row>
    <row r="611" spans="17:20" ht="15.75" customHeight="1" x14ac:dyDescent="0.25">
      <c r="Q611" s="1"/>
      <c r="R611" s="1"/>
      <c r="S611" s="1"/>
      <c r="T611" s="1"/>
    </row>
    <row r="612" spans="17:20" ht="15.75" customHeight="1" x14ac:dyDescent="0.25">
      <c r="Q612" s="1"/>
      <c r="R612" s="1"/>
      <c r="S612" s="1"/>
      <c r="T612" s="1"/>
    </row>
    <row r="613" spans="17:20" ht="15.75" customHeight="1" x14ac:dyDescent="0.25">
      <c r="Q613" s="1"/>
      <c r="R613" s="1"/>
      <c r="S613" s="1"/>
      <c r="T613" s="1"/>
    </row>
    <row r="614" spans="17:20" ht="15.75" customHeight="1" x14ac:dyDescent="0.25">
      <c r="Q614" s="1"/>
      <c r="R614" s="1"/>
      <c r="S614" s="1"/>
      <c r="T614" s="1"/>
    </row>
    <row r="615" spans="17:20" ht="15.75" customHeight="1" x14ac:dyDescent="0.25">
      <c r="Q615" s="1"/>
      <c r="R615" s="1"/>
      <c r="S615" s="1"/>
      <c r="T615" s="1"/>
    </row>
    <row r="616" spans="17:20" ht="15.75" customHeight="1" x14ac:dyDescent="0.25">
      <c r="Q616" s="1"/>
      <c r="R616" s="1"/>
      <c r="S616" s="1"/>
      <c r="T616" s="1"/>
    </row>
    <row r="617" spans="17:20" ht="15.75" customHeight="1" x14ac:dyDescent="0.25">
      <c r="Q617" s="1"/>
      <c r="R617" s="1"/>
      <c r="S617" s="1"/>
      <c r="T617" s="1"/>
    </row>
    <row r="618" spans="17:20" ht="15.75" customHeight="1" x14ac:dyDescent="0.25">
      <c r="Q618" s="1"/>
      <c r="R618" s="1"/>
      <c r="S618" s="1"/>
      <c r="T618" s="1"/>
    </row>
    <row r="619" spans="17:20" ht="15.75" customHeight="1" x14ac:dyDescent="0.25">
      <c r="Q619" s="1"/>
      <c r="R619" s="1"/>
      <c r="S619" s="1"/>
      <c r="T619" s="1"/>
    </row>
    <row r="620" spans="17:20" ht="15.75" customHeight="1" x14ac:dyDescent="0.25">
      <c r="Q620" s="1"/>
      <c r="R620" s="1"/>
      <c r="S620" s="1"/>
      <c r="T620" s="1"/>
    </row>
    <row r="621" spans="17:20" ht="15.75" customHeight="1" x14ac:dyDescent="0.25">
      <c r="Q621" s="1"/>
      <c r="R621" s="1"/>
      <c r="S621" s="1"/>
      <c r="T621" s="1"/>
    </row>
    <row r="622" spans="17:20" ht="15.75" customHeight="1" x14ac:dyDescent="0.25">
      <c r="Q622" s="1"/>
      <c r="R622" s="1"/>
      <c r="S622" s="1"/>
      <c r="T622" s="1"/>
    </row>
    <row r="623" spans="17:20" ht="15.75" customHeight="1" x14ac:dyDescent="0.25">
      <c r="Q623" s="1"/>
      <c r="R623" s="1"/>
      <c r="S623" s="1"/>
      <c r="T623" s="1"/>
    </row>
    <row r="624" spans="17:20" ht="15.75" customHeight="1" x14ac:dyDescent="0.25">
      <c r="Q624" s="1"/>
      <c r="R624" s="1"/>
      <c r="S624" s="1"/>
      <c r="T624" s="1"/>
    </row>
    <row r="625" spans="17:20" ht="15.75" customHeight="1" x14ac:dyDescent="0.25">
      <c r="Q625" s="1"/>
      <c r="R625" s="1"/>
      <c r="S625" s="1"/>
      <c r="T625" s="1"/>
    </row>
    <row r="626" spans="17:20" ht="15.75" customHeight="1" x14ac:dyDescent="0.25">
      <c r="Q626" s="1"/>
      <c r="R626" s="1"/>
      <c r="S626" s="1"/>
      <c r="T626" s="1"/>
    </row>
    <row r="627" spans="17:20" ht="15.75" customHeight="1" x14ac:dyDescent="0.25">
      <c r="Q627" s="1"/>
      <c r="R627" s="1"/>
      <c r="S627" s="1"/>
      <c r="T627" s="1"/>
    </row>
    <row r="628" spans="17:20" ht="15.75" customHeight="1" x14ac:dyDescent="0.25">
      <c r="Q628" s="1"/>
      <c r="R628" s="1"/>
      <c r="S628" s="1"/>
      <c r="T628" s="1"/>
    </row>
    <row r="629" spans="17:20" ht="15.75" customHeight="1" x14ac:dyDescent="0.25">
      <c r="Q629" s="1"/>
      <c r="R629" s="1"/>
      <c r="S629" s="1"/>
      <c r="T629" s="1"/>
    </row>
    <row r="630" spans="17:20" ht="15.75" customHeight="1" x14ac:dyDescent="0.25">
      <c r="Q630" s="1"/>
      <c r="R630" s="1"/>
      <c r="S630" s="1"/>
      <c r="T630" s="1"/>
    </row>
    <row r="631" spans="17:20" ht="15.75" customHeight="1" x14ac:dyDescent="0.25">
      <c r="Q631" s="1"/>
      <c r="R631" s="1"/>
      <c r="S631" s="1"/>
      <c r="T631" s="1"/>
    </row>
    <row r="632" spans="17:20" ht="15.75" customHeight="1" x14ac:dyDescent="0.25">
      <c r="Q632" s="1"/>
      <c r="R632" s="1"/>
      <c r="S632" s="1"/>
      <c r="T632" s="1"/>
    </row>
    <row r="633" spans="17:20" ht="15.75" customHeight="1" x14ac:dyDescent="0.25">
      <c r="Q633" s="1"/>
      <c r="R633" s="1"/>
      <c r="S633" s="1"/>
      <c r="T633" s="1"/>
    </row>
    <row r="634" spans="17:20" ht="15.75" customHeight="1" x14ac:dyDescent="0.25">
      <c r="Q634" s="1"/>
      <c r="R634" s="1"/>
      <c r="S634" s="1"/>
      <c r="T634" s="1"/>
    </row>
    <row r="635" spans="17:20" ht="15.75" customHeight="1" x14ac:dyDescent="0.25">
      <c r="Q635" s="1"/>
      <c r="R635" s="1"/>
      <c r="S635" s="1"/>
      <c r="T635" s="1"/>
    </row>
    <row r="636" spans="17:20" ht="15.75" customHeight="1" x14ac:dyDescent="0.25">
      <c r="Q636" s="1"/>
      <c r="R636" s="1"/>
      <c r="S636" s="1"/>
      <c r="T636" s="1"/>
    </row>
    <row r="637" spans="17:20" ht="15.75" customHeight="1" x14ac:dyDescent="0.25">
      <c r="Q637" s="1"/>
      <c r="R637" s="1"/>
      <c r="S637" s="1"/>
      <c r="T637" s="1"/>
    </row>
    <row r="638" spans="17:20" ht="15.75" customHeight="1" x14ac:dyDescent="0.25">
      <c r="Q638" s="1"/>
      <c r="R638" s="1"/>
      <c r="S638" s="1"/>
      <c r="T638" s="1"/>
    </row>
    <row r="639" spans="17:20" ht="15.75" customHeight="1" x14ac:dyDescent="0.25">
      <c r="Q639" s="1"/>
      <c r="R639" s="1"/>
      <c r="S639" s="1"/>
      <c r="T639" s="1"/>
    </row>
    <row r="640" spans="17:20" ht="15.75" customHeight="1" x14ac:dyDescent="0.25">
      <c r="Q640" s="1"/>
      <c r="R640" s="1"/>
      <c r="S640" s="1"/>
      <c r="T640" s="1"/>
    </row>
    <row r="641" spans="17:20" ht="15.75" customHeight="1" x14ac:dyDescent="0.25">
      <c r="Q641" s="1"/>
      <c r="R641" s="1"/>
      <c r="S641" s="1"/>
      <c r="T641" s="1"/>
    </row>
    <row r="642" spans="17:20" ht="15.75" customHeight="1" x14ac:dyDescent="0.25">
      <c r="Q642" s="1"/>
      <c r="R642" s="1"/>
      <c r="S642" s="1"/>
      <c r="T642" s="1"/>
    </row>
    <row r="643" spans="17:20" ht="15.75" customHeight="1" x14ac:dyDescent="0.25">
      <c r="Q643" s="1"/>
      <c r="R643" s="1"/>
      <c r="S643" s="1"/>
      <c r="T643" s="1"/>
    </row>
    <row r="644" spans="17:20" ht="15.75" customHeight="1" x14ac:dyDescent="0.25">
      <c r="Q644" s="1"/>
      <c r="R644" s="1"/>
      <c r="S644" s="1"/>
      <c r="T644" s="1"/>
    </row>
    <row r="645" spans="17:20" ht="15.75" customHeight="1" x14ac:dyDescent="0.25">
      <c r="Q645" s="1"/>
      <c r="R645" s="1"/>
      <c r="S645" s="1"/>
      <c r="T645" s="1"/>
    </row>
    <row r="646" spans="17:20" ht="15.75" customHeight="1" x14ac:dyDescent="0.25">
      <c r="Q646" s="1"/>
      <c r="R646" s="1"/>
      <c r="S646" s="1"/>
      <c r="T646" s="1"/>
    </row>
    <row r="647" spans="17:20" ht="15.75" customHeight="1" x14ac:dyDescent="0.25">
      <c r="Q647" s="1"/>
      <c r="R647" s="1"/>
      <c r="S647" s="1"/>
      <c r="T647" s="1"/>
    </row>
    <row r="648" spans="17:20" ht="15.75" customHeight="1" x14ac:dyDescent="0.25">
      <c r="Q648" s="1"/>
      <c r="R648" s="1"/>
      <c r="S648" s="1"/>
      <c r="T648" s="1"/>
    </row>
    <row r="649" spans="17:20" ht="15.75" customHeight="1" x14ac:dyDescent="0.25">
      <c r="Q649" s="1"/>
      <c r="R649" s="1"/>
      <c r="S649" s="1"/>
      <c r="T649" s="1"/>
    </row>
    <row r="650" spans="17:20" ht="15.75" customHeight="1" x14ac:dyDescent="0.25">
      <c r="Q650" s="1"/>
      <c r="R650" s="1"/>
      <c r="S650" s="1"/>
      <c r="T650" s="1"/>
    </row>
    <row r="651" spans="17:20" ht="15.75" customHeight="1" x14ac:dyDescent="0.25">
      <c r="Q651" s="1"/>
      <c r="R651" s="1"/>
      <c r="S651" s="1"/>
      <c r="T651" s="1"/>
    </row>
    <row r="652" spans="17:20" ht="15.75" customHeight="1" x14ac:dyDescent="0.25">
      <c r="Q652" s="1"/>
      <c r="R652" s="1"/>
      <c r="S652" s="1"/>
      <c r="T652" s="1"/>
    </row>
    <row r="653" spans="17:20" ht="15.75" customHeight="1" x14ac:dyDescent="0.25">
      <c r="Q653" s="1"/>
      <c r="R653" s="1"/>
      <c r="S653" s="1"/>
      <c r="T653" s="1"/>
    </row>
    <row r="654" spans="17:20" ht="15.75" customHeight="1" x14ac:dyDescent="0.25">
      <c r="Q654" s="1"/>
      <c r="R654" s="1"/>
      <c r="S654" s="1"/>
      <c r="T654" s="1"/>
    </row>
    <row r="655" spans="17:20" ht="15.75" customHeight="1" x14ac:dyDescent="0.25">
      <c r="Q655" s="1"/>
      <c r="R655" s="1"/>
      <c r="S655" s="1"/>
      <c r="T655" s="1"/>
    </row>
    <row r="656" spans="17:20" ht="15.75" customHeight="1" x14ac:dyDescent="0.25">
      <c r="Q656" s="1"/>
      <c r="R656" s="1"/>
      <c r="S656" s="1"/>
      <c r="T656" s="1"/>
    </row>
    <row r="657" spans="17:20" ht="15.75" customHeight="1" x14ac:dyDescent="0.25">
      <c r="Q657" s="1"/>
      <c r="R657" s="1"/>
      <c r="S657" s="1"/>
      <c r="T657" s="1"/>
    </row>
    <row r="658" spans="17:20" ht="15.75" customHeight="1" x14ac:dyDescent="0.25">
      <c r="Q658" s="1"/>
      <c r="R658" s="1"/>
      <c r="S658" s="1"/>
      <c r="T658" s="1"/>
    </row>
    <row r="659" spans="17:20" ht="15.75" customHeight="1" x14ac:dyDescent="0.25">
      <c r="Q659" s="1"/>
      <c r="R659" s="1"/>
      <c r="S659" s="1"/>
      <c r="T659" s="1"/>
    </row>
    <row r="660" spans="17:20" ht="15.75" customHeight="1" x14ac:dyDescent="0.25">
      <c r="Q660" s="1"/>
      <c r="R660" s="1"/>
      <c r="S660" s="1"/>
      <c r="T660" s="1"/>
    </row>
    <row r="661" spans="17:20" ht="15.75" customHeight="1" x14ac:dyDescent="0.25">
      <c r="Q661" s="1"/>
      <c r="R661" s="1"/>
      <c r="S661" s="1"/>
      <c r="T661" s="1"/>
    </row>
    <row r="662" spans="17:20" ht="15.75" customHeight="1" x14ac:dyDescent="0.25">
      <c r="Q662" s="1"/>
      <c r="R662" s="1"/>
      <c r="S662" s="1"/>
      <c r="T662" s="1"/>
    </row>
    <row r="663" spans="17:20" ht="15.75" customHeight="1" x14ac:dyDescent="0.25">
      <c r="Q663" s="1"/>
      <c r="R663" s="1"/>
      <c r="S663" s="1"/>
      <c r="T663" s="1"/>
    </row>
    <row r="664" spans="17:20" ht="15.75" customHeight="1" x14ac:dyDescent="0.25">
      <c r="Q664" s="1"/>
      <c r="R664" s="1"/>
      <c r="S664" s="1"/>
      <c r="T664" s="1"/>
    </row>
    <row r="665" spans="17:20" ht="15.75" customHeight="1" x14ac:dyDescent="0.25">
      <c r="Q665" s="1"/>
      <c r="R665" s="1"/>
      <c r="S665" s="1"/>
      <c r="T665" s="1"/>
    </row>
    <row r="666" spans="17:20" ht="15.75" customHeight="1" x14ac:dyDescent="0.25">
      <c r="Q666" s="1"/>
      <c r="R666" s="1"/>
      <c r="S666" s="1"/>
      <c r="T666" s="1"/>
    </row>
    <row r="667" spans="17:20" ht="15.75" customHeight="1" x14ac:dyDescent="0.25">
      <c r="Q667" s="1"/>
      <c r="R667" s="1"/>
      <c r="S667" s="1"/>
      <c r="T667" s="1"/>
    </row>
    <row r="668" spans="17:20" ht="15.75" customHeight="1" x14ac:dyDescent="0.25">
      <c r="Q668" s="1"/>
      <c r="R668" s="1"/>
      <c r="S668" s="1"/>
      <c r="T668" s="1"/>
    </row>
    <row r="669" spans="17:20" ht="15.75" customHeight="1" x14ac:dyDescent="0.25">
      <c r="Q669" s="1"/>
      <c r="R669" s="1"/>
      <c r="S669" s="1"/>
      <c r="T669" s="1"/>
    </row>
    <row r="670" spans="17:20" ht="15.75" customHeight="1" x14ac:dyDescent="0.25">
      <c r="Q670" s="1"/>
      <c r="R670" s="1"/>
      <c r="S670" s="1"/>
      <c r="T670" s="1"/>
    </row>
    <row r="671" spans="17:20" ht="15.75" customHeight="1" x14ac:dyDescent="0.25">
      <c r="Q671" s="1"/>
      <c r="R671" s="1"/>
      <c r="S671" s="1"/>
      <c r="T671" s="1"/>
    </row>
    <row r="672" spans="17:20" ht="15.75" customHeight="1" x14ac:dyDescent="0.25">
      <c r="Q672" s="1"/>
      <c r="R672" s="1"/>
      <c r="S672" s="1"/>
      <c r="T672" s="1"/>
    </row>
    <row r="673" spans="17:20" ht="15.75" customHeight="1" x14ac:dyDescent="0.25">
      <c r="Q673" s="1"/>
      <c r="R673" s="1"/>
      <c r="S673" s="1"/>
      <c r="T673" s="1"/>
    </row>
    <row r="674" spans="17:20" ht="15.75" customHeight="1" x14ac:dyDescent="0.25">
      <c r="Q674" s="1"/>
      <c r="R674" s="1"/>
      <c r="S674" s="1"/>
      <c r="T674" s="1"/>
    </row>
    <row r="675" spans="17:20" ht="15.75" customHeight="1" x14ac:dyDescent="0.25">
      <c r="Q675" s="1"/>
      <c r="R675" s="1"/>
      <c r="S675" s="1"/>
      <c r="T675" s="1"/>
    </row>
    <row r="676" spans="17:20" ht="15.75" customHeight="1" x14ac:dyDescent="0.25">
      <c r="Q676" s="1"/>
      <c r="R676" s="1"/>
      <c r="S676" s="1"/>
      <c r="T676" s="1"/>
    </row>
    <row r="677" spans="17:20" ht="15.75" customHeight="1" x14ac:dyDescent="0.25">
      <c r="Q677" s="1"/>
      <c r="R677" s="1"/>
      <c r="S677" s="1"/>
      <c r="T677" s="1"/>
    </row>
    <row r="678" spans="17:20" ht="15.75" customHeight="1" x14ac:dyDescent="0.25">
      <c r="Q678" s="1"/>
      <c r="R678" s="1"/>
      <c r="S678" s="1"/>
      <c r="T678" s="1"/>
    </row>
    <row r="679" spans="17:20" ht="15.75" customHeight="1" x14ac:dyDescent="0.25">
      <c r="Q679" s="1"/>
      <c r="R679" s="1"/>
      <c r="S679" s="1"/>
      <c r="T679" s="1"/>
    </row>
    <row r="680" spans="17:20" ht="15.75" customHeight="1" x14ac:dyDescent="0.25">
      <c r="Q680" s="1"/>
      <c r="R680" s="1"/>
      <c r="S680" s="1"/>
      <c r="T680" s="1"/>
    </row>
    <row r="681" spans="17:20" ht="15.75" customHeight="1" x14ac:dyDescent="0.25">
      <c r="Q681" s="1"/>
      <c r="R681" s="1"/>
      <c r="S681" s="1"/>
      <c r="T681" s="1"/>
    </row>
    <row r="682" spans="17:20" ht="15.75" customHeight="1" x14ac:dyDescent="0.25">
      <c r="Q682" s="1"/>
      <c r="R682" s="1"/>
      <c r="S682" s="1"/>
      <c r="T682" s="1"/>
    </row>
    <row r="683" spans="17:20" ht="15.75" customHeight="1" x14ac:dyDescent="0.25">
      <c r="Q683" s="1"/>
      <c r="R683" s="1"/>
      <c r="S683" s="1"/>
      <c r="T683" s="1"/>
    </row>
    <row r="684" spans="17:20" ht="15.75" customHeight="1" x14ac:dyDescent="0.25">
      <c r="Q684" s="1"/>
      <c r="R684" s="1"/>
      <c r="S684" s="1"/>
      <c r="T684" s="1"/>
    </row>
    <row r="685" spans="17:20" ht="15.75" customHeight="1" x14ac:dyDescent="0.25">
      <c r="Q685" s="1"/>
      <c r="R685" s="1"/>
      <c r="S685" s="1"/>
      <c r="T685" s="1"/>
    </row>
    <row r="686" spans="17:20" ht="15.75" customHeight="1" x14ac:dyDescent="0.25">
      <c r="Q686" s="1"/>
      <c r="R686" s="1"/>
      <c r="S686" s="1"/>
      <c r="T686" s="1"/>
    </row>
    <row r="687" spans="17:20" ht="15.75" customHeight="1" x14ac:dyDescent="0.25">
      <c r="Q687" s="1"/>
      <c r="R687" s="1"/>
      <c r="S687" s="1"/>
      <c r="T687" s="1"/>
    </row>
    <row r="688" spans="17:20" ht="15.75" customHeight="1" x14ac:dyDescent="0.25">
      <c r="Q688" s="1"/>
      <c r="R688" s="1"/>
      <c r="S688" s="1"/>
      <c r="T688" s="1"/>
    </row>
    <row r="689" spans="17:20" ht="15.75" customHeight="1" x14ac:dyDescent="0.25">
      <c r="Q689" s="1"/>
      <c r="R689" s="1"/>
      <c r="S689" s="1"/>
      <c r="T689" s="1"/>
    </row>
    <row r="690" spans="17:20" ht="15.75" customHeight="1" x14ac:dyDescent="0.25">
      <c r="Q690" s="1"/>
      <c r="R690" s="1"/>
      <c r="S690" s="1"/>
      <c r="T690" s="1"/>
    </row>
    <row r="691" spans="17:20" ht="15.75" customHeight="1" x14ac:dyDescent="0.25">
      <c r="Q691" s="1"/>
      <c r="R691" s="1"/>
      <c r="S691" s="1"/>
      <c r="T691" s="1"/>
    </row>
    <row r="692" spans="17:20" ht="15.75" customHeight="1" x14ac:dyDescent="0.25">
      <c r="Q692" s="1"/>
      <c r="R692" s="1"/>
      <c r="S692" s="1"/>
      <c r="T692" s="1"/>
    </row>
    <row r="693" spans="17:20" ht="15.75" customHeight="1" x14ac:dyDescent="0.25">
      <c r="Q693" s="1"/>
      <c r="R693" s="1"/>
      <c r="S693" s="1"/>
      <c r="T693" s="1"/>
    </row>
    <row r="694" spans="17:20" ht="15.75" customHeight="1" x14ac:dyDescent="0.25">
      <c r="Q694" s="1"/>
      <c r="R694" s="1"/>
      <c r="S694" s="1"/>
      <c r="T694" s="1"/>
    </row>
    <row r="695" spans="17:20" ht="15.75" customHeight="1" x14ac:dyDescent="0.25">
      <c r="Q695" s="1"/>
      <c r="R695" s="1"/>
      <c r="S695" s="1"/>
      <c r="T695" s="1"/>
    </row>
    <row r="696" spans="17:20" ht="15.75" customHeight="1" x14ac:dyDescent="0.25">
      <c r="Q696" s="1"/>
      <c r="R696" s="1"/>
      <c r="S696" s="1"/>
      <c r="T696" s="1"/>
    </row>
    <row r="697" spans="17:20" ht="15.75" customHeight="1" x14ac:dyDescent="0.25">
      <c r="Q697" s="1"/>
      <c r="R697" s="1"/>
      <c r="S697" s="1"/>
      <c r="T697" s="1"/>
    </row>
    <row r="698" spans="17:20" ht="15.75" customHeight="1" x14ac:dyDescent="0.25">
      <c r="Q698" s="1"/>
      <c r="R698" s="1"/>
      <c r="S698" s="1"/>
      <c r="T698" s="1"/>
    </row>
    <row r="699" spans="17:20" ht="15.75" customHeight="1" x14ac:dyDescent="0.25">
      <c r="Q699" s="1"/>
      <c r="R699" s="1"/>
      <c r="S699" s="1"/>
      <c r="T699" s="1"/>
    </row>
    <row r="700" spans="17:20" ht="15.75" customHeight="1" x14ac:dyDescent="0.25">
      <c r="Q700" s="1"/>
      <c r="R700" s="1"/>
      <c r="S700" s="1"/>
      <c r="T700" s="1"/>
    </row>
    <row r="701" spans="17:20" ht="15.75" customHeight="1" x14ac:dyDescent="0.25">
      <c r="Q701" s="1"/>
      <c r="R701" s="1"/>
      <c r="S701" s="1"/>
      <c r="T701" s="1"/>
    </row>
    <row r="702" spans="17:20" ht="15.75" customHeight="1" x14ac:dyDescent="0.25">
      <c r="Q702" s="1"/>
      <c r="R702" s="1"/>
      <c r="S702" s="1"/>
      <c r="T702" s="1"/>
    </row>
    <row r="703" spans="17:20" ht="15.75" customHeight="1" x14ac:dyDescent="0.25">
      <c r="Q703" s="1"/>
      <c r="R703" s="1"/>
      <c r="S703" s="1"/>
      <c r="T703" s="1"/>
    </row>
    <row r="704" spans="17:20" ht="15.75" customHeight="1" x14ac:dyDescent="0.25">
      <c r="Q704" s="1"/>
      <c r="R704" s="1"/>
      <c r="S704" s="1"/>
      <c r="T704" s="1"/>
    </row>
    <row r="705" spans="17:20" ht="15.75" customHeight="1" x14ac:dyDescent="0.25">
      <c r="Q705" s="1"/>
      <c r="R705" s="1"/>
      <c r="S705" s="1"/>
      <c r="T705" s="1"/>
    </row>
    <row r="706" spans="17:20" ht="15.75" customHeight="1" x14ac:dyDescent="0.25">
      <c r="Q706" s="1"/>
      <c r="R706" s="1"/>
      <c r="S706" s="1"/>
      <c r="T706" s="1"/>
    </row>
    <row r="707" spans="17:20" ht="15.75" customHeight="1" x14ac:dyDescent="0.25">
      <c r="Q707" s="1"/>
      <c r="R707" s="1"/>
      <c r="S707" s="1"/>
      <c r="T707" s="1"/>
    </row>
    <row r="708" spans="17:20" ht="15.75" customHeight="1" x14ac:dyDescent="0.25">
      <c r="Q708" s="1"/>
      <c r="R708" s="1"/>
      <c r="S708" s="1"/>
      <c r="T708" s="1"/>
    </row>
    <row r="709" spans="17:20" ht="15.75" customHeight="1" x14ac:dyDescent="0.25">
      <c r="Q709" s="1"/>
      <c r="R709" s="1"/>
      <c r="S709" s="1"/>
      <c r="T709" s="1"/>
    </row>
    <row r="710" spans="17:20" ht="15.75" customHeight="1" x14ac:dyDescent="0.25">
      <c r="Q710" s="1"/>
      <c r="R710" s="1"/>
      <c r="S710" s="1"/>
      <c r="T710" s="1"/>
    </row>
    <row r="711" spans="17:20" ht="15.75" customHeight="1" x14ac:dyDescent="0.25">
      <c r="Q711" s="1"/>
      <c r="R711" s="1"/>
      <c r="S711" s="1"/>
      <c r="T711" s="1"/>
    </row>
    <row r="712" spans="17:20" ht="15.75" customHeight="1" x14ac:dyDescent="0.25">
      <c r="Q712" s="1"/>
      <c r="R712" s="1"/>
      <c r="S712" s="1"/>
      <c r="T712" s="1"/>
    </row>
    <row r="713" spans="17:20" ht="15.75" customHeight="1" x14ac:dyDescent="0.25">
      <c r="Q713" s="1"/>
      <c r="R713" s="1"/>
      <c r="S713" s="1"/>
      <c r="T713" s="1"/>
    </row>
    <row r="714" spans="17:20" ht="15.75" customHeight="1" x14ac:dyDescent="0.25">
      <c r="Q714" s="1"/>
      <c r="R714" s="1"/>
      <c r="S714" s="1"/>
      <c r="T714" s="1"/>
    </row>
    <row r="715" spans="17:20" ht="15.75" customHeight="1" x14ac:dyDescent="0.25">
      <c r="Q715" s="1"/>
      <c r="R715" s="1"/>
      <c r="S715" s="1"/>
      <c r="T715" s="1"/>
    </row>
    <row r="716" spans="17:20" ht="15.75" customHeight="1" x14ac:dyDescent="0.25">
      <c r="Q716" s="1"/>
      <c r="R716" s="1"/>
      <c r="S716" s="1"/>
      <c r="T716" s="1"/>
    </row>
    <row r="717" spans="17:20" ht="15.75" customHeight="1" x14ac:dyDescent="0.25">
      <c r="Q717" s="1"/>
      <c r="R717" s="1"/>
      <c r="S717" s="1"/>
      <c r="T717" s="1"/>
    </row>
    <row r="718" spans="17:20" ht="15.75" customHeight="1" x14ac:dyDescent="0.25">
      <c r="Q718" s="1"/>
      <c r="R718" s="1"/>
      <c r="S718" s="1"/>
      <c r="T718" s="1"/>
    </row>
    <row r="719" spans="17:20" ht="15.75" customHeight="1" x14ac:dyDescent="0.25">
      <c r="Q719" s="1"/>
      <c r="R719" s="1"/>
      <c r="S719" s="1"/>
      <c r="T719" s="1"/>
    </row>
    <row r="720" spans="17:20" ht="15.75" customHeight="1" x14ac:dyDescent="0.25">
      <c r="Q720" s="1"/>
      <c r="R720" s="1"/>
      <c r="S720" s="1"/>
      <c r="T720" s="1"/>
    </row>
    <row r="721" spans="17:20" ht="15.75" customHeight="1" x14ac:dyDescent="0.25">
      <c r="Q721" s="1"/>
      <c r="R721" s="1"/>
      <c r="S721" s="1"/>
      <c r="T721" s="1"/>
    </row>
    <row r="722" spans="17:20" ht="15.75" customHeight="1" x14ac:dyDescent="0.25">
      <c r="Q722" s="1"/>
      <c r="R722" s="1"/>
      <c r="S722" s="1"/>
      <c r="T722" s="1"/>
    </row>
    <row r="723" spans="17:20" ht="15.75" customHeight="1" x14ac:dyDescent="0.25">
      <c r="Q723" s="1"/>
      <c r="R723" s="1"/>
      <c r="S723" s="1"/>
      <c r="T723" s="1"/>
    </row>
    <row r="724" spans="17:20" ht="15.75" customHeight="1" x14ac:dyDescent="0.25">
      <c r="Q724" s="1"/>
      <c r="R724" s="1"/>
      <c r="S724" s="1"/>
      <c r="T724" s="1"/>
    </row>
    <row r="725" spans="17:20" ht="15.75" customHeight="1" x14ac:dyDescent="0.25">
      <c r="Q725" s="1"/>
      <c r="R725" s="1"/>
      <c r="S725" s="1"/>
      <c r="T725" s="1"/>
    </row>
    <row r="726" spans="17:20" ht="15.75" customHeight="1" x14ac:dyDescent="0.25">
      <c r="Q726" s="1"/>
      <c r="R726" s="1"/>
      <c r="S726" s="1"/>
      <c r="T726" s="1"/>
    </row>
    <row r="727" spans="17:20" ht="15.75" customHeight="1" x14ac:dyDescent="0.25">
      <c r="Q727" s="1"/>
      <c r="R727" s="1"/>
      <c r="S727" s="1"/>
      <c r="T727" s="1"/>
    </row>
    <row r="728" spans="17:20" ht="15.75" customHeight="1" x14ac:dyDescent="0.25">
      <c r="Q728" s="1"/>
      <c r="R728" s="1"/>
      <c r="S728" s="1"/>
      <c r="T728" s="1"/>
    </row>
    <row r="729" spans="17:20" ht="15.75" customHeight="1" x14ac:dyDescent="0.25">
      <c r="Q729" s="1"/>
      <c r="R729" s="1"/>
      <c r="S729" s="1"/>
      <c r="T729" s="1"/>
    </row>
    <row r="730" spans="17:20" ht="15.75" customHeight="1" x14ac:dyDescent="0.25">
      <c r="Q730" s="1"/>
      <c r="R730" s="1"/>
      <c r="S730" s="1"/>
      <c r="T730" s="1"/>
    </row>
    <row r="731" spans="17:20" ht="15.75" customHeight="1" x14ac:dyDescent="0.25">
      <c r="Q731" s="1"/>
      <c r="R731" s="1"/>
      <c r="S731" s="1"/>
      <c r="T731" s="1"/>
    </row>
    <row r="732" spans="17:20" ht="15.75" customHeight="1" x14ac:dyDescent="0.25">
      <c r="Q732" s="1"/>
      <c r="R732" s="1"/>
      <c r="S732" s="1"/>
      <c r="T732" s="1"/>
    </row>
    <row r="733" spans="17:20" ht="15.75" customHeight="1" x14ac:dyDescent="0.25">
      <c r="Q733" s="1"/>
      <c r="R733" s="1"/>
      <c r="S733" s="1"/>
      <c r="T733" s="1"/>
    </row>
    <row r="734" spans="17:20" ht="15.75" customHeight="1" x14ac:dyDescent="0.25">
      <c r="Q734" s="1"/>
      <c r="R734" s="1"/>
      <c r="S734" s="1"/>
      <c r="T734" s="1"/>
    </row>
    <row r="735" spans="17:20" ht="15.75" customHeight="1" x14ac:dyDescent="0.25">
      <c r="Q735" s="1"/>
      <c r="R735" s="1"/>
      <c r="S735" s="1"/>
      <c r="T735" s="1"/>
    </row>
    <row r="736" spans="17:20" ht="15.75" customHeight="1" x14ac:dyDescent="0.25">
      <c r="Q736" s="1"/>
      <c r="R736" s="1"/>
      <c r="S736" s="1"/>
      <c r="T736" s="1"/>
    </row>
    <row r="737" spans="17:20" ht="15.75" customHeight="1" x14ac:dyDescent="0.25">
      <c r="Q737" s="1"/>
      <c r="R737" s="1"/>
      <c r="S737" s="1"/>
      <c r="T737" s="1"/>
    </row>
    <row r="738" spans="17:20" ht="15.75" customHeight="1" x14ac:dyDescent="0.25">
      <c r="Q738" s="1"/>
      <c r="R738" s="1"/>
      <c r="S738" s="1"/>
      <c r="T738" s="1"/>
    </row>
    <row r="739" spans="17:20" ht="15.75" customHeight="1" x14ac:dyDescent="0.25">
      <c r="Q739" s="1"/>
      <c r="R739" s="1"/>
      <c r="S739" s="1"/>
      <c r="T739" s="1"/>
    </row>
    <row r="740" spans="17:20" ht="15.75" customHeight="1" x14ac:dyDescent="0.25">
      <c r="Q740" s="1"/>
      <c r="R740" s="1"/>
      <c r="S740" s="1"/>
      <c r="T740" s="1"/>
    </row>
    <row r="741" spans="17:20" ht="15.75" customHeight="1" x14ac:dyDescent="0.25">
      <c r="Q741" s="1"/>
      <c r="R741" s="1"/>
      <c r="S741" s="1"/>
      <c r="T741" s="1"/>
    </row>
    <row r="742" spans="17:20" ht="15.75" customHeight="1" x14ac:dyDescent="0.25">
      <c r="Q742" s="1"/>
      <c r="R742" s="1"/>
      <c r="S742" s="1"/>
      <c r="T742" s="1"/>
    </row>
    <row r="743" spans="17:20" ht="15.75" customHeight="1" x14ac:dyDescent="0.25">
      <c r="Q743" s="1"/>
      <c r="R743" s="1"/>
      <c r="S743" s="1"/>
      <c r="T743" s="1"/>
    </row>
    <row r="744" spans="17:20" ht="15.75" customHeight="1" x14ac:dyDescent="0.25">
      <c r="Q744" s="1"/>
      <c r="R744" s="1"/>
      <c r="S744" s="1"/>
      <c r="T744" s="1"/>
    </row>
    <row r="745" spans="17:20" ht="15.75" customHeight="1" x14ac:dyDescent="0.25">
      <c r="Q745" s="1"/>
      <c r="R745" s="1"/>
      <c r="S745" s="1"/>
      <c r="T745" s="1"/>
    </row>
    <row r="746" spans="17:20" ht="15.75" customHeight="1" x14ac:dyDescent="0.25">
      <c r="Q746" s="1"/>
      <c r="R746" s="1"/>
      <c r="S746" s="1"/>
      <c r="T746" s="1"/>
    </row>
    <row r="747" spans="17:20" ht="15.75" customHeight="1" x14ac:dyDescent="0.25">
      <c r="Q747" s="1"/>
      <c r="R747" s="1"/>
      <c r="S747" s="1"/>
      <c r="T747" s="1"/>
    </row>
    <row r="748" spans="17:20" ht="15.75" customHeight="1" x14ac:dyDescent="0.25">
      <c r="Q748" s="1"/>
      <c r="R748" s="1"/>
      <c r="S748" s="1"/>
      <c r="T748" s="1"/>
    </row>
    <row r="749" spans="17:20" ht="15.75" customHeight="1" x14ac:dyDescent="0.25">
      <c r="Q749" s="1"/>
      <c r="R749" s="1"/>
      <c r="S749" s="1"/>
      <c r="T749" s="1"/>
    </row>
    <row r="750" spans="17:20" ht="15.75" customHeight="1" x14ac:dyDescent="0.25">
      <c r="Q750" s="1"/>
      <c r="R750" s="1"/>
      <c r="S750" s="1"/>
      <c r="T750" s="1"/>
    </row>
    <row r="751" spans="17:20" ht="15.75" customHeight="1" x14ac:dyDescent="0.25">
      <c r="Q751" s="1"/>
      <c r="R751" s="1"/>
      <c r="S751" s="1"/>
      <c r="T751" s="1"/>
    </row>
    <row r="752" spans="17:20" ht="15.75" customHeight="1" x14ac:dyDescent="0.25">
      <c r="Q752" s="1"/>
      <c r="R752" s="1"/>
      <c r="S752" s="1"/>
      <c r="T752" s="1"/>
    </row>
    <row r="753" spans="17:20" ht="15.75" customHeight="1" x14ac:dyDescent="0.25">
      <c r="Q753" s="1"/>
      <c r="R753" s="1"/>
      <c r="S753" s="1"/>
      <c r="T753" s="1"/>
    </row>
    <row r="754" spans="17:20" ht="15.75" customHeight="1" x14ac:dyDescent="0.25">
      <c r="Q754" s="1"/>
      <c r="R754" s="1"/>
      <c r="S754" s="1"/>
      <c r="T754" s="1"/>
    </row>
    <row r="755" spans="17:20" ht="15.75" customHeight="1" x14ac:dyDescent="0.25">
      <c r="Q755" s="1"/>
      <c r="R755" s="1"/>
      <c r="S755" s="1"/>
      <c r="T755" s="1"/>
    </row>
    <row r="756" spans="17:20" ht="15.75" customHeight="1" x14ac:dyDescent="0.25">
      <c r="Q756" s="1"/>
      <c r="R756" s="1"/>
      <c r="S756" s="1"/>
      <c r="T756" s="1"/>
    </row>
    <row r="757" spans="17:20" ht="15.75" customHeight="1" x14ac:dyDescent="0.25">
      <c r="Q757" s="1"/>
      <c r="R757" s="1"/>
      <c r="S757" s="1"/>
      <c r="T757" s="1"/>
    </row>
    <row r="758" spans="17:20" ht="15.75" customHeight="1" x14ac:dyDescent="0.25">
      <c r="Q758" s="1"/>
      <c r="R758" s="1"/>
      <c r="S758" s="1"/>
      <c r="T758" s="1"/>
    </row>
    <row r="759" spans="17:20" ht="15.75" customHeight="1" x14ac:dyDescent="0.25">
      <c r="Q759" s="1"/>
      <c r="R759" s="1"/>
      <c r="S759" s="1"/>
      <c r="T759" s="1"/>
    </row>
    <row r="760" spans="17:20" ht="15.75" customHeight="1" x14ac:dyDescent="0.25">
      <c r="Q760" s="1"/>
      <c r="R760" s="1"/>
      <c r="S760" s="1"/>
      <c r="T760" s="1"/>
    </row>
    <row r="761" spans="17:20" ht="15.75" customHeight="1" x14ac:dyDescent="0.25">
      <c r="Q761" s="1"/>
      <c r="R761" s="1"/>
      <c r="S761" s="1"/>
      <c r="T761" s="1"/>
    </row>
    <row r="762" spans="17:20" ht="15.75" customHeight="1" x14ac:dyDescent="0.25">
      <c r="Q762" s="1"/>
      <c r="R762" s="1"/>
      <c r="S762" s="1"/>
      <c r="T762" s="1"/>
    </row>
    <row r="763" spans="17:20" ht="15.75" customHeight="1" x14ac:dyDescent="0.25">
      <c r="Q763" s="1"/>
      <c r="R763" s="1"/>
      <c r="S763" s="1"/>
      <c r="T763" s="1"/>
    </row>
    <row r="764" spans="17:20" ht="15.75" customHeight="1" x14ac:dyDescent="0.25">
      <c r="Q764" s="1"/>
      <c r="R764" s="1"/>
      <c r="S764" s="1"/>
      <c r="T764" s="1"/>
    </row>
    <row r="765" spans="17:20" ht="15.75" customHeight="1" x14ac:dyDescent="0.25">
      <c r="Q765" s="1"/>
      <c r="R765" s="1"/>
      <c r="S765" s="1"/>
      <c r="T765" s="1"/>
    </row>
    <row r="766" spans="17:20" ht="15.75" customHeight="1" x14ac:dyDescent="0.25">
      <c r="Q766" s="1"/>
      <c r="R766" s="1"/>
      <c r="S766" s="1"/>
      <c r="T766" s="1"/>
    </row>
    <row r="767" spans="17:20" ht="15.75" customHeight="1" x14ac:dyDescent="0.25">
      <c r="Q767" s="1"/>
      <c r="R767" s="1"/>
      <c r="S767" s="1"/>
      <c r="T767" s="1"/>
    </row>
    <row r="768" spans="17:20" ht="15.75" customHeight="1" x14ac:dyDescent="0.25">
      <c r="Q768" s="1"/>
      <c r="R768" s="1"/>
      <c r="S768" s="1"/>
      <c r="T768" s="1"/>
    </row>
    <row r="769" spans="17:20" ht="15.75" customHeight="1" x14ac:dyDescent="0.25">
      <c r="Q769" s="1"/>
      <c r="R769" s="1"/>
      <c r="S769" s="1"/>
      <c r="T769" s="1"/>
    </row>
    <row r="770" spans="17:20" ht="15.75" customHeight="1" x14ac:dyDescent="0.25">
      <c r="Q770" s="1"/>
      <c r="R770" s="1"/>
      <c r="S770" s="1"/>
      <c r="T770" s="1"/>
    </row>
    <row r="771" spans="17:20" ht="15.75" customHeight="1" x14ac:dyDescent="0.25">
      <c r="Q771" s="1"/>
      <c r="R771" s="1"/>
      <c r="S771" s="1"/>
      <c r="T771" s="1"/>
    </row>
    <row r="772" spans="17:20" ht="15.75" customHeight="1" x14ac:dyDescent="0.25">
      <c r="Q772" s="1"/>
      <c r="R772" s="1"/>
      <c r="S772" s="1"/>
      <c r="T772" s="1"/>
    </row>
    <row r="773" spans="17:20" ht="15.75" customHeight="1" x14ac:dyDescent="0.25">
      <c r="Q773" s="1"/>
      <c r="R773" s="1"/>
      <c r="S773" s="1"/>
      <c r="T773" s="1"/>
    </row>
    <row r="774" spans="17:20" ht="15.75" customHeight="1" x14ac:dyDescent="0.25">
      <c r="Q774" s="1"/>
      <c r="R774" s="1"/>
      <c r="S774" s="1"/>
      <c r="T774" s="1"/>
    </row>
    <row r="775" spans="17:20" ht="15.75" customHeight="1" x14ac:dyDescent="0.25">
      <c r="Q775" s="1"/>
      <c r="R775" s="1"/>
      <c r="S775" s="1"/>
      <c r="T775" s="1"/>
    </row>
    <row r="776" spans="17:20" ht="15.75" customHeight="1" x14ac:dyDescent="0.25">
      <c r="Q776" s="1"/>
      <c r="R776" s="1"/>
      <c r="S776" s="1"/>
      <c r="T776" s="1"/>
    </row>
    <row r="777" spans="17:20" ht="15.75" customHeight="1" x14ac:dyDescent="0.25">
      <c r="Q777" s="1"/>
      <c r="R777" s="1"/>
      <c r="S777" s="1"/>
      <c r="T777" s="1"/>
    </row>
    <row r="778" spans="17:20" ht="15.75" customHeight="1" x14ac:dyDescent="0.25">
      <c r="Q778" s="1"/>
      <c r="R778" s="1"/>
      <c r="S778" s="1"/>
      <c r="T778" s="1"/>
    </row>
    <row r="779" spans="17:20" ht="15.75" customHeight="1" x14ac:dyDescent="0.25">
      <c r="Q779" s="1"/>
      <c r="R779" s="1"/>
      <c r="S779" s="1"/>
      <c r="T779" s="1"/>
    </row>
    <row r="780" spans="17:20" ht="15.75" customHeight="1" x14ac:dyDescent="0.25">
      <c r="Q780" s="1"/>
      <c r="R780" s="1"/>
      <c r="S780" s="1"/>
      <c r="T780" s="1"/>
    </row>
    <row r="781" spans="17:20" ht="15.75" customHeight="1" x14ac:dyDescent="0.25">
      <c r="Q781" s="1"/>
      <c r="R781" s="1"/>
      <c r="S781" s="1"/>
      <c r="T781" s="1"/>
    </row>
    <row r="782" spans="17:20" ht="15.75" customHeight="1" x14ac:dyDescent="0.25">
      <c r="Q782" s="1"/>
      <c r="R782" s="1"/>
      <c r="S782" s="1"/>
      <c r="T782" s="1"/>
    </row>
    <row r="783" spans="17:20" ht="15.75" customHeight="1" x14ac:dyDescent="0.25">
      <c r="Q783" s="1"/>
      <c r="R783" s="1"/>
      <c r="S783" s="1"/>
      <c r="T783" s="1"/>
    </row>
    <row r="784" spans="17:20" ht="15.75" customHeight="1" x14ac:dyDescent="0.25">
      <c r="Q784" s="1"/>
      <c r="R784" s="1"/>
      <c r="S784" s="1"/>
      <c r="T784" s="1"/>
    </row>
    <row r="785" spans="17:20" ht="15.75" customHeight="1" x14ac:dyDescent="0.25">
      <c r="Q785" s="1"/>
      <c r="R785" s="1"/>
      <c r="S785" s="1"/>
      <c r="T785" s="1"/>
    </row>
    <row r="786" spans="17:20" ht="15.75" customHeight="1" x14ac:dyDescent="0.25">
      <c r="Q786" s="1"/>
      <c r="R786" s="1"/>
      <c r="S786" s="1"/>
      <c r="T786" s="1"/>
    </row>
    <row r="787" spans="17:20" ht="15.75" customHeight="1" x14ac:dyDescent="0.25">
      <c r="Q787" s="1"/>
      <c r="R787" s="1"/>
      <c r="S787" s="1"/>
      <c r="T787" s="1"/>
    </row>
    <row r="788" spans="17:20" ht="15.75" customHeight="1" x14ac:dyDescent="0.25">
      <c r="Q788" s="1"/>
      <c r="R788" s="1"/>
      <c r="S788" s="1"/>
      <c r="T788" s="1"/>
    </row>
    <row r="789" spans="17:20" ht="15.75" customHeight="1" x14ac:dyDescent="0.25">
      <c r="Q789" s="1"/>
      <c r="R789" s="1"/>
      <c r="S789" s="1"/>
      <c r="T789" s="1"/>
    </row>
    <row r="790" spans="17:20" ht="15.75" customHeight="1" x14ac:dyDescent="0.25">
      <c r="Q790" s="1"/>
      <c r="R790" s="1"/>
      <c r="S790" s="1"/>
      <c r="T790" s="1"/>
    </row>
    <row r="791" spans="17:20" ht="15.75" customHeight="1" x14ac:dyDescent="0.25">
      <c r="Q791" s="1"/>
      <c r="R791" s="1"/>
      <c r="S791" s="1"/>
      <c r="T791" s="1"/>
    </row>
    <row r="792" spans="17:20" ht="15.75" customHeight="1" x14ac:dyDescent="0.25">
      <c r="Q792" s="1"/>
      <c r="R792" s="1"/>
      <c r="S792" s="1"/>
      <c r="T792" s="1"/>
    </row>
    <row r="793" spans="17:20" ht="15.75" customHeight="1" x14ac:dyDescent="0.25">
      <c r="Q793" s="1"/>
      <c r="R793" s="1"/>
      <c r="S793" s="1"/>
      <c r="T793" s="1"/>
    </row>
    <row r="794" spans="17:20" ht="15.75" customHeight="1" x14ac:dyDescent="0.25">
      <c r="Q794" s="1"/>
      <c r="R794" s="1"/>
      <c r="S794" s="1"/>
      <c r="T794" s="1"/>
    </row>
    <row r="795" spans="17:20" ht="15.75" customHeight="1" x14ac:dyDescent="0.25">
      <c r="Q795" s="1"/>
      <c r="R795" s="1"/>
      <c r="S795" s="1"/>
      <c r="T795" s="1"/>
    </row>
    <row r="796" spans="17:20" ht="15.75" customHeight="1" x14ac:dyDescent="0.25">
      <c r="Q796" s="1"/>
      <c r="R796" s="1"/>
      <c r="S796" s="1"/>
      <c r="T796" s="1"/>
    </row>
    <row r="797" spans="17:20" ht="15.75" customHeight="1" x14ac:dyDescent="0.25">
      <c r="Q797" s="1"/>
      <c r="R797" s="1"/>
      <c r="S797" s="1"/>
      <c r="T797" s="1"/>
    </row>
    <row r="798" spans="17:20" ht="15.75" customHeight="1" x14ac:dyDescent="0.25">
      <c r="Q798" s="1"/>
      <c r="R798" s="1"/>
      <c r="S798" s="1"/>
      <c r="T798" s="1"/>
    </row>
    <row r="799" spans="17:20" ht="15.75" customHeight="1" x14ac:dyDescent="0.25">
      <c r="Q799" s="1"/>
      <c r="R799" s="1"/>
      <c r="S799" s="1"/>
      <c r="T799" s="1"/>
    </row>
    <row r="800" spans="17:20" ht="15.75" customHeight="1" x14ac:dyDescent="0.25">
      <c r="Q800" s="1"/>
      <c r="R800" s="1"/>
      <c r="S800" s="1"/>
      <c r="T800" s="1"/>
    </row>
    <row r="801" spans="17:20" ht="15.75" customHeight="1" x14ac:dyDescent="0.25">
      <c r="Q801" s="1"/>
      <c r="R801" s="1"/>
      <c r="S801" s="1"/>
      <c r="T801" s="1"/>
    </row>
    <row r="802" spans="17:20" ht="15.75" customHeight="1" x14ac:dyDescent="0.25">
      <c r="Q802" s="1"/>
      <c r="R802" s="1"/>
      <c r="S802" s="1"/>
      <c r="T802" s="1"/>
    </row>
    <row r="803" spans="17:20" ht="15.75" customHeight="1" x14ac:dyDescent="0.25">
      <c r="Q803" s="1"/>
      <c r="R803" s="1"/>
      <c r="S803" s="1"/>
      <c r="T803" s="1"/>
    </row>
    <row r="804" spans="17:20" ht="15.75" customHeight="1" x14ac:dyDescent="0.25">
      <c r="Q804" s="1"/>
      <c r="R804" s="1"/>
      <c r="S804" s="1"/>
      <c r="T804" s="1"/>
    </row>
    <row r="805" spans="17:20" ht="15.75" customHeight="1" x14ac:dyDescent="0.25">
      <c r="Q805" s="1"/>
      <c r="R805" s="1"/>
      <c r="S805" s="1"/>
      <c r="T805" s="1"/>
    </row>
    <row r="806" spans="17:20" ht="15.75" customHeight="1" x14ac:dyDescent="0.25">
      <c r="Q806" s="1"/>
      <c r="R806" s="1"/>
      <c r="S806" s="1"/>
      <c r="T806" s="1"/>
    </row>
    <row r="807" spans="17:20" ht="15.75" customHeight="1" x14ac:dyDescent="0.25">
      <c r="Q807" s="1"/>
      <c r="R807" s="1"/>
      <c r="S807" s="1"/>
      <c r="T807" s="1"/>
    </row>
    <row r="808" spans="17:20" ht="15.75" customHeight="1" x14ac:dyDescent="0.25">
      <c r="Q808" s="1"/>
      <c r="R808" s="1"/>
      <c r="S808" s="1"/>
      <c r="T808" s="1"/>
    </row>
    <row r="809" spans="17:20" ht="15.75" customHeight="1" x14ac:dyDescent="0.25">
      <c r="Q809" s="1"/>
      <c r="R809" s="1"/>
      <c r="S809" s="1"/>
      <c r="T809" s="1"/>
    </row>
    <row r="810" spans="17:20" ht="15.75" customHeight="1" x14ac:dyDescent="0.25">
      <c r="Q810" s="1"/>
      <c r="R810" s="1"/>
      <c r="S810" s="1"/>
      <c r="T810" s="1"/>
    </row>
    <row r="811" spans="17:20" ht="15.75" customHeight="1" x14ac:dyDescent="0.25">
      <c r="Q811" s="1"/>
      <c r="R811" s="1"/>
      <c r="S811" s="1"/>
      <c r="T811" s="1"/>
    </row>
    <row r="812" spans="17:20" ht="15.75" customHeight="1" x14ac:dyDescent="0.25">
      <c r="Q812" s="1"/>
      <c r="R812" s="1"/>
      <c r="S812" s="1"/>
      <c r="T812" s="1"/>
    </row>
    <row r="813" spans="17:20" ht="15.75" customHeight="1" x14ac:dyDescent="0.25">
      <c r="Q813" s="1"/>
      <c r="R813" s="1"/>
      <c r="S813" s="1"/>
      <c r="T813" s="1"/>
    </row>
    <row r="814" spans="17:20" ht="15.75" customHeight="1" x14ac:dyDescent="0.25">
      <c r="Q814" s="1"/>
      <c r="R814" s="1"/>
      <c r="S814" s="1"/>
      <c r="T814" s="1"/>
    </row>
    <row r="815" spans="17:20" ht="15.75" customHeight="1" x14ac:dyDescent="0.25">
      <c r="Q815" s="1"/>
      <c r="R815" s="1"/>
      <c r="S815" s="1"/>
      <c r="T815" s="1"/>
    </row>
    <row r="816" spans="17:20" ht="15.75" customHeight="1" x14ac:dyDescent="0.25">
      <c r="Q816" s="1"/>
      <c r="R816" s="1"/>
      <c r="S816" s="1"/>
      <c r="T816" s="1"/>
    </row>
    <row r="817" spans="17:20" ht="15.75" customHeight="1" x14ac:dyDescent="0.25">
      <c r="Q817" s="1"/>
      <c r="R817" s="1"/>
      <c r="S817" s="1"/>
      <c r="T817" s="1"/>
    </row>
    <row r="818" spans="17:20" ht="15.75" customHeight="1" x14ac:dyDescent="0.25">
      <c r="Q818" s="1"/>
      <c r="R818" s="1"/>
      <c r="S818" s="1"/>
      <c r="T818" s="1"/>
    </row>
    <row r="819" spans="17:20" ht="15.75" customHeight="1" x14ac:dyDescent="0.25">
      <c r="Q819" s="1"/>
      <c r="R819" s="1"/>
      <c r="S819" s="1"/>
      <c r="T819" s="1"/>
    </row>
    <row r="820" spans="17:20" ht="15.75" customHeight="1" x14ac:dyDescent="0.25">
      <c r="Q820" s="1"/>
      <c r="R820" s="1"/>
      <c r="S820" s="1"/>
      <c r="T820" s="1"/>
    </row>
    <row r="821" spans="17:20" ht="15.75" customHeight="1" x14ac:dyDescent="0.25">
      <c r="Q821" s="1"/>
      <c r="R821" s="1"/>
      <c r="S821" s="1"/>
      <c r="T821" s="1"/>
    </row>
    <row r="822" spans="17:20" ht="15.75" customHeight="1" x14ac:dyDescent="0.25">
      <c r="Q822" s="1"/>
      <c r="R822" s="1"/>
      <c r="S822" s="1"/>
      <c r="T822" s="1"/>
    </row>
    <row r="823" spans="17:20" ht="15.75" customHeight="1" x14ac:dyDescent="0.25">
      <c r="Q823" s="1"/>
      <c r="R823" s="1"/>
      <c r="S823" s="1"/>
      <c r="T823" s="1"/>
    </row>
    <row r="824" spans="17:20" ht="15.75" customHeight="1" x14ac:dyDescent="0.25">
      <c r="Q824" s="1"/>
      <c r="R824" s="1"/>
      <c r="S824" s="1"/>
      <c r="T824" s="1"/>
    </row>
    <row r="825" spans="17:20" ht="15.75" customHeight="1" x14ac:dyDescent="0.25">
      <c r="Q825" s="1"/>
      <c r="R825" s="1"/>
      <c r="S825" s="1"/>
      <c r="T825" s="1"/>
    </row>
    <row r="826" spans="17:20" ht="15.75" customHeight="1" x14ac:dyDescent="0.25">
      <c r="Q826" s="1"/>
      <c r="R826" s="1"/>
      <c r="S826" s="1"/>
      <c r="T826" s="1"/>
    </row>
    <row r="827" spans="17:20" ht="15.75" customHeight="1" x14ac:dyDescent="0.25">
      <c r="Q827" s="1"/>
      <c r="R827" s="1"/>
      <c r="S827" s="1"/>
      <c r="T827" s="1"/>
    </row>
    <row r="828" spans="17:20" ht="15.75" customHeight="1" x14ac:dyDescent="0.25">
      <c r="Q828" s="1"/>
      <c r="R828" s="1"/>
      <c r="S828" s="1"/>
      <c r="T828" s="1"/>
    </row>
    <row r="829" spans="17:20" ht="15.75" customHeight="1" x14ac:dyDescent="0.25">
      <c r="Q829" s="1"/>
      <c r="R829" s="1"/>
      <c r="S829" s="1"/>
      <c r="T829" s="1"/>
    </row>
    <row r="830" spans="17:20" ht="15.75" customHeight="1" x14ac:dyDescent="0.25">
      <c r="Q830" s="1"/>
      <c r="R830" s="1"/>
      <c r="S830" s="1"/>
      <c r="T830" s="1"/>
    </row>
    <row r="831" spans="17:20" ht="15.75" customHeight="1" x14ac:dyDescent="0.25">
      <c r="Q831" s="1"/>
      <c r="R831" s="1"/>
      <c r="S831" s="1"/>
      <c r="T831" s="1"/>
    </row>
    <row r="832" spans="17:20" ht="15.75" customHeight="1" x14ac:dyDescent="0.25">
      <c r="Q832" s="1"/>
      <c r="R832" s="1"/>
      <c r="S832" s="1"/>
      <c r="T832" s="1"/>
    </row>
    <row r="833" spans="17:20" ht="15.75" customHeight="1" x14ac:dyDescent="0.25">
      <c r="Q833" s="1"/>
      <c r="R833" s="1"/>
      <c r="S833" s="1"/>
      <c r="T833" s="1"/>
    </row>
    <row r="834" spans="17:20" ht="15.75" customHeight="1" x14ac:dyDescent="0.25">
      <c r="Q834" s="1"/>
      <c r="R834" s="1"/>
      <c r="S834" s="1"/>
      <c r="T834" s="1"/>
    </row>
    <row r="835" spans="17:20" ht="15.75" customHeight="1" x14ac:dyDescent="0.25">
      <c r="Q835" s="1"/>
      <c r="R835" s="1"/>
      <c r="S835" s="1"/>
      <c r="T835" s="1"/>
    </row>
    <row r="836" spans="17:20" ht="15.75" customHeight="1" x14ac:dyDescent="0.25">
      <c r="Q836" s="1"/>
      <c r="R836" s="1"/>
      <c r="S836" s="1"/>
      <c r="T836" s="1"/>
    </row>
    <row r="837" spans="17:20" ht="15.75" customHeight="1" x14ac:dyDescent="0.25">
      <c r="Q837" s="1"/>
      <c r="R837" s="1"/>
      <c r="S837" s="1"/>
      <c r="T837" s="1"/>
    </row>
    <row r="838" spans="17:20" ht="15.75" customHeight="1" x14ac:dyDescent="0.25">
      <c r="Q838" s="1"/>
      <c r="R838" s="1"/>
      <c r="S838" s="1"/>
      <c r="T838" s="1"/>
    </row>
    <row r="839" spans="17:20" ht="15.75" customHeight="1" x14ac:dyDescent="0.25">
      <c r="Q839" s="1"/>
      <c r="R839" s="1"/>
      <c r="S839" s="1"/>
      <c r="T839" s="1"/>
    </row>
    <row r="840" spans="17:20" ht="15.75" customHeight="1" x14ac:dyDescent="0.25">
      <c r="Q840" s="1"/>
      <c r="R840" s="1"/>
      <c r="S840" s="1"/>
      <c r="T840" s="1"/>
    </row>
    <row r="841" spans="17:20" ht="15.75" customHeight="1" x14ac:dyDescent="0.25">
      <c r="Q841" s="1"/>
      <c r="R841" s="1"/>
      <c r="S841" s="1"/>
      <c r="T841" s="1"/>
    </row>
    <row r="842" spans="17:20" ht="15.75" customHeight="1" x14ac:dyDescent="0.25">
      <c r="Q842" s="1"/>
      <c r="R842" s="1"/>
      <c r="S842" s="1"/>
      <c r="T842" s="1"/>
    </row>
    <row r="843" spans="17:20" ht="15.75" customHeight="1" x14ac:dyDescent="0.25">
      <c r="Q843" s="1"/>
      <c r="R843" s="1"/>
      <c r="S843" s="1"/>
      <c r="T843" s="1"/>
    </row>
    <row r="844" spans="17:20" ht="15.75" customHeight="1" x14ac:dyDescent="0.25">
      <c r="Q844" s="1"/>
      <c r="R844" s="1"/>
      <c r="S844" s="1"/>
      <c r="T844" s="1"/>
    </row>
    <row r="845" spans="17:20" ht="15.75" customHeight="1" x14ac:dyDescent="0.25">
      <c r="Q845" s="1"/>
      <c r="R845" s="1"/>
      <c r="S845" s="1"/>
      <c r="T845" s="1"/>
    </row>
    <row r="846" spans="17:20" ht="15.75" customHeight="1" x14ac:dyDescent="0.25">
      <c r="Q846" s="1"/>
      <c r="R846" s="1"/>
      <c r="S846" s="1"/>
      <c r="T846" s="1"/>
    </row>
    <row r="847" spans="17:20" ht="15.75" customHeight="1" x14ac:dyDescent="0.25">
      <c r="Q847" s="1"/>
      <c r="R847" s="1"/>
      <c r="S847" s="1"/>
      <c r="T847" s="1"/>
    </row>
    <row r="848" spans="17:20" ht="15.75" customHeight="1" x14ac:dyDescent="0.25">
      <c r="Q848" s="1"/>
      <c r="R848" s="1"/>
      <c r="S848" s="1"/>
      <c r="T848" s="1"/>
    </row>
    <row r="849" spans="17:20" ht="15.75" customHeight="1" x14ac:dyDescent="0.25">
      <c r="Q849" s="1"/>
      <c r="R849" s="1"/>
      <c r="S849" s="1"/>
      <c r="T849" s="1"/>
    </row>
    <row r="850" spans="17:20" ht="15.75" customHeight="1" x14ac:dyDescent="0.25">
      <c r="Q850" s="1"/>
      <c r="R850" s="1"/>
      <c r="S850" s="1"/>
      <c r="T850" s="1"/>
    </row>
    <row r="851" spans="17:20" ht="15.75" customHeight="1" x14ac:dyDescent="0.25">
      <c r="Q851" s="1"/>
      <c r="R851" s="1"/>
      <c r="S851" s="1"/>
      <c r="T851" s="1"/>
    </row>
    <row r="852" spans="17:20" ht="15.75" customHeight="1" x14ac:dyDescent="0.25">
      <c r="Q852" s="1"/>
      <c r="R852" s="1"/>
      <c r="S852" s="1"/>
      <c r="T852" s="1"/>
    </row>
    <row r="853" spans="17:20" ht="15.75" customHeight="1" x14ac:dyDescent="0.25">
      <c r="Q853" s="1"/>
      <c r="R853" s="1"/>
      <c r="S853" s="1"/>
      <c r="T853" s="1"/>
    </row>
    <row r="854" spans="17:20" ht="15.75" customHeight="1" x14ac:dyDescent="0.25">
      <c r="Q854" s="1"/>
      <c r="R854" s="1"/>
      <c r="S854" s="1"/>
      <c r="T854" s="1"/>
    </row>
    <row r="855" spans="17:20" ht="15.75" customHeight="1" x14ac:dyDescent="0.25">
      <c r="Q855" s="1"/>
      <c r="R855" s="1"/>
      <c r="S855" s="1"/>
      <c r="T855" s="1"/>
    </row>
    <row r="856" spans="17:20" ht="15.75" customHeight="1" x14ac:dyDescent="0.25">
      <c r="Q856" s="1"/>
      <c r="R856" s="1"/>
      <c r="S856" s="1"/>
      <c r="T856" s="1"/>
    </row>
    <row r="857" spans="17:20" ht="15.75" customHeight="1" x14ac:dyDescent="0.25">
      <c r="Q857" s="1"/>
      <c r="R857" s="1"/>
      <c r="S857" s="1"/>
      <c r="T857" s="1"/>
    </row>
    <row r="858" spans="17:20" ht="15.75" customHeight="1" x14ac:dyDescent="0.25">
      <c r="Q858" s="1"/>
      <c r="R858" s="1"/>
      <c r="S858" s="1"/>
      <c r="T858" s="1"/>
    </row>
    <row r="859" spans="17:20" ht="15.75" customHeight="1" x14ac:dyDescent="0.25">
      <c r="Q859" s="1"/>
      <c r="R859" s="1"/>
      <c r="S859" s="1"/>
      <c r="T859" s="1"/>
    </row>
    <row r="860" spans="17:20" ht="15.75" customHeight="1" x14ac:dyDescent="0.25">
      <c r="Q860" s="1"/>
      <c r="R860" s="1"/>
      <c r="S860" s="1"/>
      <c r="T860" s="1"/>
    </row>
    <row r="861" spans="17:20" ht="15.75" customHeight="1" x14ac:dyDescent="0.25">
      <c r="Q861" s="1"/>
      <c r="R861" s="1"/>
      <c r="S861" s="1"/>
      <c r="T861" s="1"/>
    </row>
    <row r="862" spans="17:20" ht="15.75" customHeight="1" x14ac:dyDescent="0.25">
      <c r="Q862" s="1"/>
      <c r="R862" s="1"/>
      <c r="S862" s="1"/>
      <c r="T862" s="1"/>
    </row>
    <row r="863" spans="17:20" ht="15.75" customHeight="1" x14ac:dyDescent="0.25">
      <c r="Q863" s="1"/>
      <c r="R863" s="1"/>
      <c r="S863" s="1"/>
      <c r="T863" s="1"/>
    </row>
    <row r="864" spans="17:20" ht="15.75" customHeight="1" x14ac:dyDescent="0.25">
      <c r="Q864" s="1"/>
      <c r="R864" s="1"/>
      <c r="S864" s="1"/>
      <c r="T864" s="1"/>
    </row>
    <row r="865" spans="17:20" ht="15.75" customHeight="1" x14ac:dyDescent="0.25">
      <c r="Q865" s="1"/>
      <c r="R865" s="1"/>
      <c r="S865" s="1"/>
      <c r="T865" s="1"/>
    </row>
    <row r="866" spans="17:20" ht="15.75" customHeight="1" x14ac:dyDescent="0.25">
      <c r="Q866" s="1"/>
      <c r="R866" s="1"/>
      <c r="S866" s="1"/>
      <c r="T866" s="1"/>
    </row>
    <row r="867" spans="17:20" ht="15.75" customHeight="1" x14ac:dyDescent="0.25">
      <c r="Q867" s="1"/>
      <c r="R867" s="1"/>
      <c r="S867" s="1"/>
      <c r="T867" s="1"/>
    </row>
    <row r="868" spans="17:20" ht="15.75" customHeight="1" x14ac:dyDescent="0.25">
      <c r="Q868" s="1"/>
      <c r="R868" s="1"/>
      <c r="S868" s="1"/>
      <c r="T868" s="1"/>
    </row>
    <row r="869" spans="17:20" ht="15.75" customHeight="1" x14ac:dyDescent="0.25">
      <c r="Q869" s="1"/>
      <c r="R869" s="1"/>
      <c r="S869" s="1"/>
      <c r="T869" s="1"/>
    </row>
    <row r="870" spans="17:20" ht="15.75" customHeight="1" x14ac:dyDescent="0.25">
      <c r="Q870" s="1"/>
      <c r="R870" s="1"/>
      <c r="S870" s="1"/>
      <c r="T870" s="1"/>
    </row>
    <row r="871" spans="17:20" ht="15.75" customHeight="1" x14ac:dyDescent="0.25">
      <c r="Q871" s="1"/>
      <c r="R871" s="1"/>
      <c r="S871" s="1"/>
      <c r="T871" s="1"/>
    </row>
    <row r="872" spans="17:20" ht="15.75" customHeight="1" x14ac:dyDescent="0.25">
      <c r="Q872" s="1"/>
      <c r="R872" s="1"/>
      <c r="S872" s="1"/>
      <c r="T872" s="1"/>
    </row>
    <row r="873" spans="17:20" ht="15.75" customHeight="1" x14ac:dyDescent="0.25">
      <c r="Q873" s="1"/>
      <c r="R873" s="1"/>
      <c r="S873" s="1"/>
      <c r="T873" s="1"/>
    </row>
    <row r="874" spans="17:20" ht="15.75" customHeight="1" x14ac:dyDescent="0.25">
      <c r="Q874" s="1"/>
      <c r="R874" s="1"/>
      <c r="S874" s="1"/>
      <c r="T874" s="1"/>
    </row>
    <row r="875" spans="17:20" ht="15.75" customHeight="1" x14ac:dyDescent="0.25">
      <c r="Q875" s="1"/>
      <c r="R875" s="1"/>
      <c r="S875" s="1"/>
      <c r="T875" s="1"/>
    </row>
    <row r="876" spans="17:20" ht="15.75" customHeight="1" x14ac:dyDescent="0.25">
      <c r="Q876" s="1"/>
      <c r="R876" s="1"/>
      <c r="S876" s="1"/>
      <c r="T876" s="1"/>
    </row>
    <row r="877" spans="17:20" ht="15.75" customHeight="1" x14ac:dyDescent="0.25">
      <c r="Q877" s="1"/>
      <c r="R877" s="1"/>
      <c r="S877" s="1"/>
      <c r="T877" s="1"/>
    </row>
    <row r="878" spans="17:20" ht="15.75" customHeight="1" x14ac:dyDescent="0.25">
      <c r="Q878" s="1"/>
      <c r="R878" s="1"/>
      <c r="S878" s="1"/>
      <c r="T878" s="1"/>
    </row>
    <row r="879" spans="17:20" ht="15.75" customHeight="1" x14ac:dyDescent="0.25">
      <c r="Q879" s="1"/>
      <c r="R879" s="1"/>
      <c r="S879" s="1"/>
      <c r="T879" s="1"/>
    </row>
    <row r="880" spans="17:20" ht="15.75" customHeight="1" x14ac:dyDescent="0.25">
      <c r="Q880" s="1"/>
      <c r="R880" s="1"/>
      <c r="S880" s="1"/>
      <c r="T880" s="1"/>
    </row>
    <row r="881" spans="17:20" ht="15.75" customHeight="1" x14ac:dyDescent="0.25">
      <c r="Q881" s="1"/>
      <c r="R881" s="1"/>
      <c r="S881" s="1"/>
      <c r="T881" s="1"/>
    </row>
    <row r="882" spans="17:20" ht="15.75" customHeight="1" x14ac:dyDescent="0.25">
      <c r="Q882" s="1"/>
      <c r="R882" s="1"/>
      <c r="S882" s="1"/>
      <c r="T882" s="1"/>
    </row>
    <row r="883" spans="17:20" ht="15.75" customHeight="1" x14ac:dyDescent="0.25">
      <c r="Q883" s="1"/>
      <c r="R883" s="1"/>
      <c r="S883" s="1"/>
      <c r="T883" s="1"/>
    </row>
    <row r="884" spans="17:20" ht="15.75" customHeight="1" x14ac:dyDescent="0.25">
      <c r="Q884" s="1"/>
      <c r="R884" s="1"/>
      <c r="S884" s="1"/>
      <c r="T884" s="1"/>
    </row>
    <row r="885" spans="17:20" ht="15.75" customHeight="1" x14ac:dyDescent="0.25">
      <c r="Q885" s="1"/>
      <c r="R885" s="1"/>
      <c r="S885" s="1"/>
      <c r="T885" s="1"/>
    </row>
    <row r="886" spans="17:20" ht="15.75" customHeight="1" x14ac:dyDescent="0.25">
      <c r="Q886" s="1"/>
      <c r="R886" s="1"/>
      <c r="S886" s="1"/>
      <c r="T886" s="1"/>
    </row>
    <row r="887" spans="17:20" ht="15.75" customHeight="1" x14ac:dyDescent="0.25">
      <c r="Q887" s="1"/>
      <c r="R887" s="1"/>
      <c r="S887" s="1"/>
      <c r="T887" s="1"/>
    </row>
    <row r="888" spans="17:20" ht="15.75" customHeight="1" x14ac:dyDescent="0.25">
      <c r="Q888" s="1"/>
      <c r="R888" s="1"/>
      <c r="S888" s="1"/>
      <c r="T888" s="1"/>
    </row>
    <row r="889" spans="17:20" ht="15.75" customHeight="1" x14ac:dyDescent="0.25">
      <c r="Q889" s="1"/>
      <c r="R889" s="1"/>
      <c r="S889" s="1"/>
      <c r="T889" s="1"/>
    </row>
    <row r="890" spans="17:20" ht="15.75" customHeight="1" x14ac:dyDescent="0.25">
      <c r="Q890" s="1"/>
      <c r="R890" s="1"/>
      <c r="S890" s="1"/>
      <c r="T890" s="1"/>
    </row>
    <row r="891" spans="17:20" ht="15.75" customHeight="1" x14ac:dyDescent="0.25">
      <c r="Q891" s="1"/>
      <c r="R891" s="1"/>
      <c r="S891" s="1"/>
      <c r="T891" s="1"/>
    </row>
    <row r="892" spans="17:20" ht="15.75" customHeight="1" x14ac:dyDescent="0.25">
      <c r="Q892" s="1"/>
      <c r="R892" s="1"/>
      <c r="S892" s="1"/>
      <c r="T892" s="1"/>
    </row>
    <row r="893" spans="17:20" ht="15.75" customHeight="1" x14ac:dyDescent="0.25">
      <c r="Q893" s="1"/>
      <c r="R893" s="1"/>
      <c r="S893" s="1"/>
      <c r="T893" s="1"/>
    </row>
    <row r="894" spans="17:20" ht="15.75" customHeight="1" x14ac:dyDescent="0.25">
      <c r="Q894" s="1"/>
      <c r="R894" s="1"/>
      <c r="S894" s="1"/>
      <c r="T894" s="1"/>
    </row>
    <row r="895" spans="17:20" ht="15.75" customHeight="1" x14ac:dyDescent="0.25">
      <c r="Q895" s="1"/>
      <c r="R895" s="1"/>
      <c r="S895" s="1"/>
      <c r="T895" s="1"/>
    </row>
    <row r="896" spans="17:20" ht="15.75" customHeight="1" x14ac:dyDescent="0.25">
      <c r="Q896" s="1"/>
      <c r="R896" s="1"/>
      <c r="S896" s="1"/>
      <c r="T896" s="1"/>
    </row>
    <row r="897" spans="17:20" ht="15.75" customHeight="1" x14ac:dyDescent="0.25">
      <c r="Q897" s="1"/>
      <c r="R897" s="1"/>
      <c r="S897" s="1"/>
      <c r="T897" s="1"/>
    </row>
    <row r="898" spans="17:20" ht="15.75" customHeight="1" x14ac:dyDescent="0.25">
      <c r="Q898" s="1"/>
      <c r="R898" s="1"/>
      <c r="S898" s="1"/>
      <c r="T898" s="1"/>
    </row>
    <row r="899" spans="17:20" ht="15.75" customHeight="1" x14ac:dyDescent="0.25">
      <c r="Q899" s="1"/>
      <c r="R899" s="1"/>
      <c r="S899" s="1"/>
      <c r="T899" s="1"/>
    </row>
    <row r="900" spans="17:20" ht="15.75" customHeight="1" x14ac:dyDescent="0.25">
      <c r="Q900" s="1"/>
      <c r="R900" s="1"/>
      <c r="S900" s="1"/>
      <c r="T900" s="1"/>
    </row>
    <row r="901" spans="17:20" ht="15.75" customHeight="1" x14ac:dyDescent="0.25">
      <c r="Q901" s="1"/>
      <c r="R901" s="1"/>
      <c r="S901" s="1"/>
      <c r="T901" s="1"/>
    </row>
    <row r="902" spans="17:20" ht="15.75" customHeight="1" x14ac:dyDescent="0.25">
      <c r="Q902" s="1"/>
      <c r="R902" s="1"/>
      <c r="S902" s="1"/>
      <c r="T902" s="1"/>
    </row>
    <row r="903" spans="17:20" ht="15.75" customHeight="1" x14ac:dyDescent="0.25">
      <c r="Q903" s="1"/>
      <c r="R903" s="1"/>
      <c r="S903" s="1"/>
      <c r="T903" s="1"/>
    </row>
    <row r="904" spans="17:20" ht="15.75" customHeight="1" x14ac:dyDescent="0.25">
      <c r="Q904" s="1"/>
      <c r="R904" s="1"/>
      <c r="S904" s="1"/>
      <c r="T904" s="1"/>
    </row>
    <row r="905" spans="17:20" ht="15.75" customHeight="1" x14ac:dyDescent="0.25">
      <c r="Q905" s="1"/>
      <c r="R905" s="1"/>
      <c r="S905" s="1"/>
      <c r="T905" s="1"/>
    </row>
    <row r="906" spans="17:20" ht="15.75" customHeight="1" x14ac:dyDescent="0.25">
      <c r="Q906" s="1"/>
      <c r="R906" s="1"/>
      <c r="S906" s="1"/>
      <c r="T906" s="1"/>
    </row>
    <row r="907" spans="17:20" ht="15.75" customHeight="1" x14ac:dyDescent="0.25">
      <c r="Q907" s="1"/>
      <c r="R907" s="1"/>
      <c r="S907" s="1"/>
      <c r="T907" s="1"/>
    </row>
    <row r="908" spans="17:20" ht="15.75" customHeight="1" x14ac:dyDescent="0.25">
      <c r="Q908" s="1"/>
      <c r="R908" s="1"/>
      <c r="S908" s="1"/>
      <c r="T908" s="1"/>
    </row>
    <row r="909" spans="17:20" ht="15.75" customHeight="1" x14ac:dyDescent="0.25">
      <c r="Q909" s="1"/>
      <c r="R909" s="1"/>
      <c r="S909" s="1"/>
      <c r="T909" s="1"/>
    </row>
    <row r="910" spans="17:20" ht="15.75" customHeight="1" x14ac:dyDescent="0.25">
      <c r="Q910" s="1"/>
      <c r="R910" s="1"/>
      <c r="S910" s="1"/>
      <c r="T910" s="1"/>
    </row>
    <row r="911" spans="17:20" ht="15.75" customHeight="1" x14ac:dyDescent="0.25">
      <c r="Q911" s="1"/>
      <c r="R911" s="1"/>
      <c r="S911" s="1"/>
      <c r="T911" s="1"/>
    </row>
    <row r="912" spans="17:20" ht="15.75" customHeight="1" x14ac:dyDescent="0.25">
      <c r="Q912" s="1"/>
      <c r="R912" s="1"/>
      <c r="S912" s="1"/>
      <c r="T912" s="1"/>
    </row>
    <row r="913" spans="17:20" ht="15.75" customHeight="1" x14ac:dyDescent="0.25">
      <c r="Q913" s="1"/>
      <c r="R913" s="1"/>
      <c r="S913" s="1"/>
      <c r="T913" s="1"/>
    </row>
    <row r="914" spans="17:20" ht="15.75" customHeight="1" x14ac:dyDescent="0.25">
      <c r="Q914" s="1"/>
      <c r="R914" s="1"/>
      <c r="S914" s="1"/>
      <c r="T914" s="1"/>
    </row>
    <row r="915" spans="17:20" ht="15.75" customHeight="1" x14ac:dyDescent="0.25">
      <c r="Q915" s="1"/>
      <c r="R915" s="1"/>
      <c r="S915" s="1"/>
      <c r="T915" s="1"/>
    </row>
    <row r="916" spans="17:20" ht="15.75" customHeight="1" x14ac:dyDescent="0.25">
      <c r="Q916" s="1"/>
      <c r="R916" s="1"/>
      <c r="S916" s="1"/>
      <c r="T916" s="1"/>
    </row>
    <row r="917" spans="17:20" ht="15.75" customHeight="1" x14ac:dyDescent="0.25">
      <c r="Q917" s="1"/>
      <c r="R917" s="1"/>
      <c r="S917" s="1"/>
      <c r="T917" s="1"/>
    </row>
    <row r="918" spans="17:20" ht="15.75" customHeight="1" x14ac:dyDescent="0.25">
      <c r="Q918" s="1"/>
      <c r="R918" s="1"/>
      <c r="S918" s="1"/>
      <c r="T918" s="1"/>
    </row>
    <row r="919" spans="17:20" ht="15.75" customHeight="1" x14ac:dyDescent="0.25">
      <c r="Q919" s="1"/>
      <c r="R919" s="1"/>
      <c r="S919" s="1"/>
      <c r="T919" s="1"/>
    </row>
    <row r="920" spans="17:20" ht="15.75" customHeight="1" x14ac:dyDescent="0.25">
      <c r="Q920" s="1"/>
      <c r="R920" s="1"/>
      <c r="S920" s="1"/>
      <c r="T920" s="1"/>
    </row>
    <row r="921" spans="17:20" ht="15.75" customHeight="1" x14ac:dyDescent="0.25">
      <c r="Q921" s="1"/>
      <c r="R921" s="1"/>
      <c r="S921" s="1"/>
      <c r="T921" s="1"/>
    </row>
    <row r="922" spans="17:20" ht="15.75" customHeight="1" x14ac:dyDescent="0.25">
      <c r="Q922" s="1"/>
      <c r="R922" s="1"/>
      <c r="S922" s="1"/>
      <c r="T922" s="1"/>
    </row>
    <row r="923" spans="17:20" ht="15.75" customHeight="1" x14ac:dyDescent="0.25">
      <c r="Q923" s="1"/>
      <c r="R923" s="1"/>
      <c r="S923" s="1"/>
      <c r="T923" s="1"/>
    </row>
    <row r="924" spans="17:20" ht="15.75" customHeight="1" x14ac:dyDescent="0.25">
      <c r="Q924" s="1"/>
      <c r="R924" s="1"/>
      <c r="S924" s="1"/>
      <c r="T924" s="1"/>
    </row>
    <row r="925" spans="17:20" ht="15.75" customHeight="1" x14ac:dyDescent="0.25">
      <c r="Q925" s="1"/>
      <c r="R925" s="1"/>
      <c r="S925" s="1"/>
      <c r="T925" s="1"/>
    </row>
    <row r="926" spans="17:20" ht="15.75" customHeight="1" x14ac:dyDescent="0.25">
      <c r="Q926" s="1"/>
      <c r="R926" s="1"/>
      <c r="S926" s="1"/>
      <c r="T926" s="1"/>
    </row>
    <row r="927" spans="17:20" ht="15.75" customHeight="1" x14ac:dyDescent="0.25">
      <c r="Q927" s="1"/>
      <c r="R927" s="1"/>
      <c r="S927" s="1"/>
      <c r="T927" s="1"/>
    </row>
    <row r="928" spans="17:20" ht="15.75" customHeight="1" x14ac:dyDescent="0.25">
      <c r="Q928" s="1"/>
      <c r="R928" s="1"/>
      <c r="S928" s="1"/>
      <c r="T928" s="1"/>
    </row>
    <row r="929" spans="17:20" ht="15.75" customHeight="1" x14ac:dyDescent="0.25">
      <c r="Q929" s="1"/>
      <c r="R929" s="1"/>
      <c r="S929" s="1"/>
      <c r="T929" s="1"/>
    </row>
    <row r="930" spans="17:20" ht="15.75" customHeight="1" x14ac:dyDescent="0.25">
      <c r="Q930" s="1"/>
      <c r="R930" s="1"/>
      <c r="S930" s="1"/>
      <c r="T930" s="1"/>
    </row>
    <row r="931" spans="17:20" ht="15.75" customHeight="1" x14ac:dyDescent="0.25">
      <c r="Q931" s="1"/>
      <c r="R931" s="1"/>
      <c r="S931" s="1"/>
      <c r="T931" s="1"/>
    </row>
    <row r="932" spans="17:20" ht="15.75" customHeight="1" x14ac:dyDescent="0.25">
      <c r="Q932" s="1"/>
      <c r="R932" s="1"/>
      <c r="S932" s="1"/>
      <c r="T932" s="1"/>
    </row>
    <row r="933" spans="17:20" ht="15.75" customHeight="1" x14ac:dyDescent="0.25">
      <c r="Q933" s="1"/>
      <c r="R933" s="1"/>
      <c r="S933" s="1"/>
      <c r="T933" s="1"/>
    </row>
    <row r="934" spans="17:20" ht="15.75" customHeight="1" x14ac:dyDescent="0.25">
      <c r="Q934" s="1"/>
      <c r="R934" s="1"/>
      <c r="S934" s="1"/>
      <c r="T934" s="1"/>
    </row>
    <row r="935" spans="17:20" ht="15.75" customHeight="1" x14ac:dyDescent="0.25">
      <c r="Q935" s="1"/>
      <c r="R935" s="1"/>
      <c r="S935" s="1"/>
      <c r="T935" s="1"/>
    </row>
    <row r="936" spans="17:20" ht="15.75" customHeight="1" x14ac:dyDescent="0.25">
      <c r="Q936" s="1"/>
      <c r="R936" s="1"/>
      <c r="S936" s="1"/>
      <c r="T936" s="1"/>
    </row>
    <row r="937" spans="17:20" ht="15.75" customHeight="1" x14ac:dyDescent="0.25">
      <c r="Q937" s="1"/>
      <c r="R937" s="1"/>
      <c r="S937" s="1"/>
      <c r="T937" s="1"/>
    </row>
    <row r="938" spans="17:20" ht="15.75" customHeight="1" x14ac:dyDescent="0.25">
      <c r="Q938" s="1"/>
      <c r="R938" s="1"/>
      <c r="S938" s="1"/>
      <c r="T938" s="1"/>
    </row>
    <row r="939" spans="17:20" ht="15.75" customHeight="1" x14ac:dyDescent="0.25">
      <c r="Q939" s="1"/>
      <c r="R939" s="1"/>
      <c r="S939" s="1"/>
      <c r="T939" s="1"/>
    </row>
    <row r="940" spans="17:20" ht="15.75" customHeight="1" x14ac:dyDescent="0.25">
      <c r="Q940" s="1"/>
      <c r="R940" s="1"/>
      <c r="S940" s="1"/>
      <c r="T940" s="1"/>
    </row>
    <row r="941" spans="17:20" ht="15.75" customHeight="1" x14ac:dyDescent="0.25">
      <c r="Q941" s="1"/>
      <c r="R941" s="1"/>
      <c r="S941" s="1"/>
      <c r="T941" s="1"/>
    </row>
    <row r="942" spans="17:20" ht="15.75" customHeight="1" x14ac:dyDescent="0.25">
      <c r="Q942" s="1"/>
      <c r="R942" s="1"/>
      <c r="S942" s="1"/>
      <c r="T942" s="1"/>
    </row>
    <row r="943" spans="17:20" ht="15.75" customHeight="1" x14ac:dyDescent="0.25">
      <c r="Q943" s="1"/>
      <c r="R943" s="1"/>
      <c r="S943" s="1"/>
      <c r="T943" s="1"/>
    </row>
    <row r="944" spans="17:20" ht="15.75" customHeight="1" x14ac:dyDescent="0.25">
      <c r="Q944" s="1"/>
      <c r="R944" s="1"/>
      <c r="S944" s="1"/>
      <c r="T944" s="1"/>
    </row>
    <row r="945" spans="17:20" ht="15.75" customHeight="1" x14ac:dyDescent="0.25">
      <c r="Q945" s="1"/>
      <c r="R945" s="1"/>
      <c r="S945" s="1"/>
      <c r="T945" s="1"/>
    </row>
    <row r="946" spans="17:20" ht="15.75" customHeight="1" x14ac:dyDescent="0.25">
      <c r="Q946" s="1"/>
      <c r="R946" s="1"/>
      <c r="S946" s="1"/>
      <c r="T946" s="1"/>
    </row>
    <row r="947" spans="17:20" ht="15.75" customHeight="1" x14ac:dyDescent="0.25">
      <c r="Q947" s="1"/>
      <c r="R947" s="1"/>
      <c r="S947" s="1"/>
      <c r="T947" s="1"/>
    </row>
    <row r="948" spans="17:20" ht="15.75" customHeight="1" x14ac:dyDescent="0.25">
      <c r="Q948" s="1"/>
      <c r="R948" s="1"/>
      <c r="S948" s="1"/>
      <c r="T948" s="1"/>
    </row>
    <row r="949" spans="17:20" ht="15.75" customHeight="1" x14ac:dyDescent="0.25">
      <c r="Q949" s="1"/>
      <c r="R949" s="1"/>
      <c r="S949" s="1"/>
      <c r="T949" s="1"/>
    </row>
    <row r="950" spans="17:20" ht="15.75" customHeight="1" x14ac:dyDescent="0.25">
      <c r="Q950" s="1"/>
      <c r="R950" s="1"/>
      <c r="S950" s="1"/>
      <c r="T950" s="1"/>
    </row>
    <row r="951" spans="17:20" ht="15.75" customHeight="1" x14ac:dyDescent="0.25">
      <c r="Q951" s="1"/>
      <c r="R951" s="1"/>
      <c r="S951" s="1"/>
      <c r="T951" s="1"/>
    </row>
    <row r="952" spans="17:20" ht="15.75" customHeight="1" x14ac:dyDescent="0.25">
      <c r="Q952" s="1"/>
      <c r="R952" s="1"/>
      <c r="S952" s="1"/>
      <c r="T952" s="1"/>
    </row>
    <row r="953" spans="17:20" ht="15.75" customHeight="1" x14ac:dyDescent="0.25">
      <c r="Q953" s="1"/>
      <c r="R953" s="1"/>
      <c r="S953" s="1"/>
      <c r="T953" s="1"/>
    </row>
    <row r="954" spans="17:20" ht="15.75" customHeight="1" x14ac:dyDescent="0.25">
      <c r="Q954" s="1"/>
      <c r="R954" s="1"/>
      <c r="S954" s="1"/>
      <c r="T954" s="1"/>
    </row>
    <row r="955" spans="17:20" ht="15.75" customHeight="1" x14ac:dyDescent="0.25">
      <c r="Q955" s="1"/>
      <c r="R955" s="1"/>
      <c r="S955" s="1"/>
      <c r="T955" s="1"/>
    </row>
    <row r="956" spans="17:20" ht="15.75" customHeight="1" x14ac:dyDescent="0.25">
      <c r="Q956" s="1"/>
      <c r="R956" s="1"/>
      <c r="S956" s="1"/>
      <c r="T956" s="1"/>
    </row>
    <row r="957" spans="17:20" ht="15.75" customHeight="1" x14ac:dyDescent="0.25">
      <c r="Q957" s="1"/>
      <c r="R957" s="1"/>
      <c r="S957" s="1"/>
      <c r="T957" s="1"/>
    </row>
    <row r="958" spans="17:20" ht="15.75" customHeight="1" x14ac:dyDescent="0.25">
      <c r="Q958" s="1"/>
      <c r="R958" s="1"/>
      <c r="S958" s="1"/>
      <c r="T958" s="1"/>
    </row>
    <row r="959" spans="17:20" ht="15.75" customHeight="1" x14ac:dyDescent="0.25">
      <c r="Q959" s="1"/>
      <c r="R959" s="1"/>
      <c r="S959" s="1"/>
      <c r="T959" s="1"/>
    </row>
    <row r="960" spans="17:20" ht="15.75" customHeight="1" x14ac:dyDescent="0.25">
      <c r="Q960" s="1"/>
      <c r="R960" s="1"/>
      <c r="S960" s="1"/>
      <c r="T960" s="1"/>
    </row>
    <row r="961" spans="17:20" ht="15.75" customHeight="1" x14ac:dyDescent="0.25">
      <c r="Q961" s="1"/>
      <c r="R961" s="1"/>
      <c r="S961" s="1"/>
      <c r="T961" s="1"/>
    </row>
    <row r="962" spans="17:20" ht="15.75" customHeight="1" x14ac:dyDescent="0.25">
      <c r="Q962" s="1"/>
      <c r="R962" s="1"/>
      <c r="S962" s="1"/>
      <c r="T962" s="1"/>
    </row>
    <row r="963" spans="17:20" ht="15.75" customHeight="1" x14ac:dyDescent="0.25">
      <c r="Q963" s="1"/>
      <c r="R963" s="1"/>
      <c r="S963" s="1"/>
      <c r="T963" s="1"/>
    </row>
    <row r="964" spans="17:20" ht="15.75" customHeight="1" x14ac:dyDescent="0.25">
      <c r="Q964" s="1"/>
      <c r="R964" s="1"/>
      <c r="S964" s="1"/>
      <c r="T964" s="1"/>
    </row>
    <row r="965" spans="17:20" ht="15.75" customHeight="1" x14ac:dyDescent="0.25">
      <c r="Q965" s="1"/>
      <c r="R965" s="1"/>
      <c r="S965" s="1"/>
      <c r="T965" s="1"/>
    </row>
    <row r="966" spans="17:20" ht="15.75" customHeight="1" x14ac:dyDescent="0.25">
      <c r="Q966" s="1"/>
      <c r="R966" s="1"/>
      <c r="S966" s="1"/>
      <c r="T966" s="1"/>
    </row>
    <row r="967" spans="17:20" ht="15.75" customHeight="1" x14ac:dyDescent="0.25">
      <c r="Q967" s="1"/>
      <c r="R967" s="1"/>
      <c r="S967" s="1"/>
      <c r="T967" s="1"/>
    </row>
    <row r="968" spans="17:20" ht="15.75" customHeight="1" x14ac:dyDescent="0.25">
      <c r="Q968" s="1"/>
      <c r="R968" s="1"/>
      <c r="S968" s="1"/>
      <c r="T968" s="1"/>
    </row>
    <row r="969" spans="17:20" ht="15.75" customHeight="1" x14ac:dyDescent="0.25">
      <c r="Q969" s="1"/>
      <c r="R969" s="1"/>
      <c r="S969" s="1"/>
      <c r="T969" s="1"/>
    </row>
    <row r="970" spans="17:20" ht="15.75" customHeight="1" x14ac:dyDescent="0.25">
      <c r="Q970" s="1"/>
      <c r="R970" s="1"/>
      <c r="S970" s="1"/>
      <c r="T970" s="1"/>
    </row>
    <row r="971" spans="17:20" ht="15.75" customHeight="1" x14ac:dyDescent="0.25">
      <c r="Q971" s="1"/>
      <c r="R971" s="1"/>
      <c r="S971" s="1"/>
      <c r="T971" s="1"/>
    </row>
    <row r="972" spans="17:20" ht="15.75" customHeight="1" x14ac:dyDescent="0.25">
      <c r="Q972" s="1"/>
      <c r="R972" s="1"/>
      <c r="S972" s="1"/>
      <c r="T972" s="1"/>
    </row>
    <row r="973" spans="17:20" ht="15.75" customHeight="1" x14ac:dyDescent="0.25">
      <c r="Q973" s="1"/>
      <c r="R973" s="1"/>
      <c r="S973" s="1"/>
      <c r="T973" s="1"/>
    </row>
    <row r="974" spans="17:20" ht="15.75" customHeight="1" x14ac:dyDescent="0.25">
      <c r="Q974" s="1"/>
      <c r="R974" s="1"/>
      <c r="S974" s="1"/>
      <c r="T974" s="1"/>
    </row>
    <row r="975" spans="17:20" ht="15.75" customHeight="1" x14ac:dyDescent="0.25">
      <c r="Q975" s="1"/>
      <c r="R975" s="1"/>
      <c r="S975" s="1"/>
      <c r="T975" s="1"/>
    </row>
    <row r="976" spans="17:20" ht="15.75" customHeight="1" x14ac:dyDescent="0.25">
      <c r="Q976" s="1"/>
      <c r="R976" s="1"/>
      <c r="S976" s="1"/>
      <c r="T976" s="1"/>
    </row>
    <row r="977" spans="17:20" ht="15.75" customHeight="1" x14ac:dyDescent="0.25">
      <c r="Q977" s="1"/>
      <c r="R977" s="1"/>
      <c r="S977" s="1"/>
      <c r="T977" s="1"/>
    </row>
    <row r="978" spans="17:20" ht="15.75" customHeight="1" x14ac:dyDescent="0.25">
      <c r="Q978" s="1"/>
      <c r="R978" s="1"/>
      <c r="S978" s="1"/>
      <c r="T978" s="1"/>
    </row>
    <row r="979" spans="17:20" ht="15.75" customHeight="1" x14ac:dyDescent="0.25">
      <c r="Q979" s="1"/>
      <c r="R979" s="1"/>
      <c r="S979" s="1"/>
      <c r="T979" s="1"/>
    </row>
    <row r="980" spans="17:20" ht="15.75" customHeight="1" x14ac:dyDescent="0.25">
      <c r="Q980" s="1"/>
      <c r="R980" s="1"/>
      <c r="S980" s="1"/>
      <c r="T980" s="1"/>
    </row>
    <row r="981" spans="17:20" ht="15.75" customHeight="1" x14ac:dyDescent="0.25">
      <c r="Q981" s="1"/>
      <c r="R981" s="1"/>
      <c r="S981" s="1"/>
      <c r="T981" s="1"/>
    </row>
    <row r="982" spans="17:20" ht="15.75" customHeight="1" x14ac:dyDescent="0.25">
      <c r="Q982" s="1"/>
      <c r="R982" s="1"/>
      <c r="S982" s="1"/>
      <c r="T982" s="1"/>
    </row>
    <row r="983" spans="17:20" ht="15.75" customHeight="1" x14ac:dyDescent="0.25">
      <c r="Q983" s="1"/>
      <c r="R983" s="1"/>
      <c r="S983" s="1"/>
      <c r="T983" s="1"/>
    </row>
    <row r="984" spans="17:20" ht="15.75" customHeight="1" x14ac:dyDescent="0.25">
      <c r="Q984" s="1"/>
      <c r="R984" s="1"/>
      <c r="S984" s="1"/>
      <c r="T984" s="1"/>
    </row>
    <row r="985" spans="17:20" ht="15.75" customHeight="1" x14ac:dyDescent="0.25">
      <c r="Q985" s="1"/>
      <c r="R985" s="1"/>
      <c r="S985" s="1"/>
      <c r="T985" s="1"/>
    </row>
    <row r="986" spans="17:20" ht="15.75" customHeight="1" x14ac:dyDescent="0.25">
      <c r="Q986" s="1"/>
      <c r="R986" s="1"/>
      <c r="S986" s="1"/>
      <c r="T986" s="1"/>
    </row>
    <row r="987" spans="17:20" ht="15.75" customHeight="1" x14ac:dyDescent="0.25">
      <c r="Q987" s="1"/>
      <c r="R987" s="1"/>
      <c r="S987" s="1"/>
      <c r="T987" s="1"/>
    </row>
    <row r="988" spans="17:20" ht="15.75" customHeight="1" x14ac:dyDescent="0.25">
      <c r="Q988" s="1"/>
      <c r="R988" s="1"/>
      <c r="S988" s="1"/>
      <c r="T988" s="1"/>
    </row>
    <row r="989" spans="17:20" ht="15.75" customHeight="1" x14ac:dyDescent="0.25">
      <c r="Q989" s="1"/>
      <c r="R989" s="1"/>
      <c r="S989" s="1"/>
      <c r="T989" s="1"/>
    </row>
    <row r="990" spans="17:20" ht="15.75" customHeight="1" x14ac:dyDescent="0.25">
      <c r="Q990" s="1"/>
      <c r="R990" s="1"/>
      <c r="S990" s="1"/>
      <c r="T990" s="1"/>
    </row>
    <row r="991" spans="17:20" ht="15.75" customHeight="1" x14ac:dyDescent="0.25">
      <c r="Q991" s="1"/>
      <c r="R991" s="1"/>
      <c r="S991" s="1"/>
      <c r="T991" s="1"/>
    </row>
    <row r="992" spans="17:20" ht="15.75" customHeight="1" x14ac:dyDescent="0.25">
      <c r="Q992" s="1"/>
      <c r="R992" s="1"/>
      <c r="S992" s="1"/>
      <c r="T992" s="1"/>
    </row>
    <row r="993" spans="17:20" ht="15.75" customHeight="1" x14ac:dyDescent="0.25">
      <c r="Q993" s="1"/>
      <c r="R993" s="1"/>
      <c r="S993" s="1"/>
      <c r="T993" s="1"/>
    </row>
    <row r="994" spans="17:20" ht="15.75" customHeight="1" x14ac:dyDescent="0.25">
      <c r="Q994" s="1"/>
      <c r="R994" s="1"/>
      <c r="S994" s="1"/>
      <c r="T994" s="1"/>
    </row>
    <row r="995" spans="17:20" ht="15.75" customHeight="1" x14ac:dyDescent="0.25">
      <c r="Q995" s="1"/>
      <c r="R995" s="1"/>
      <c r="S995" s="1"/>
      <c r="T995" s="1"/>
    </row>
    <row r="996" spans="17:20" ht="15.75" customHeight="1" x14ac:dyDescent="0.25">
      <c r="Q996" s="1"/>
      <c r="R996" s="1"/>
      <c r="S996" s="1"/>
      <c r="T996" s="1"/>
    </row>
    <row r="997" spans="17:20" ht="15.75" customHeight="1" x14ac:dyDescent="0.25">
      <c r="Q997" s="1"/>
      <c r="R997" s="1"/>
      <c r="S997" s="1"/>
      <c r="T997" s="1"/>
    </row>
    <row r="998" spans="17:20" ht="15.75" customHeight="1" x14ac:dyDescent="0.25">
      <c r="Q998" s="1"/>
      <c r="R998" s="1"/>
      <c r="S998" s="1"/>
      <c r="T998" s="1"/>
    </row>
    <row r="999" spans="17:20" ht="15.75" customHeight="1" x14ac:dyDescent="0.25">
      <c r="Q999" s="1"/>
      <c r="R999" s="1"/>
      <c r="S999" s="1"/>
      <c r="T999" s="1"/>
    </row>
    <row r="1000" spans="17:20" ht="15.75" customHeight="1" x14ac:dyDescent="0.25">
      <c r="Q1000" s="1"/>
      <c r="R1000" s="1"/>
      <c r="S1000" s="1"/>
      <c r="T1000" s="1"/>
    </row>
  </sheetData>
  <phoneticPr fontId="9" type="noConversion"/>
  <conditionalFormatting sqref="V3:V32">
    <cfRule type="colorScale" priority="2">
      <colorScale>
        <cfvo type="min"/>
        <cfvo type="max"/>
        <color rgb="FFFF0000"/>
        <color theme="9"/>
      </colorScale>
    </cfRule>
  </conditionalFormatting>
  <conditionalFormatting sqref="W3:W32">
    <cfRule type="colorScale" priority="1">
      <colorScale>
        <cfvo type="min"/>
        <cfvo type="percentile" val="50"/>
        <cfvo type="max"/>
        <color rgb="FFFF0000"/>
        <color rgb="FFFFEB84"/>
        <color theme="9"/>
      </colorScale>
    </cfRule>
  </conditionalFormatting>
  <hyperlinks>
    <hyperlink ref="F82" r:id="rId1" xr:uid="{B396AEEC-0EE9-4818-A274-F2E140333C11}"/>
    <hyperlink ref="F81" r:id="rId2" xr:uid="{F744A60F-C5CB-4162-93BE-47A374E3ED6A}"/>
  </hyperlinks>
  <pageMargins left="0.7" right="0.7" top="0.75" bottom="0.75" header="0" footer="0"/>
  <pageSetup orientation="portrait"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4" x14ac:dyDescent="0.25">
      <c r="A1" s="2" t="s">
        <v>13</v>
      </c>
      <c r="B1" s="2" t="s">
        <v>66</v>
      </c>
      <c r="C1" s="2" t="s">
        <v>67</v>
      </c>
      <c r="D1" s="2" t="s">
        <v>68</v>
      </c>
    </row>
    <row r="2" spans="1:4" x14ac:dyDescent="0.25">
      <c r="A2" s="2">
        <v>1</v>
      </c>
      <c r="B2" s="2">
        <v>1</v>
      </c>
      <c r="C2" s="2">
        <v>20</v>
      </c>
      <c r="D2" s="2">
        <v>26</v>
      </c>
    </row>
    <row r="3" spans="1:4" x14ac:dyDescent="0.25">
      <c r="A3" s="2">
        <v>2</v>
      </c>
      <c r="B3" s="2">
        <v>2</v>
      </c>
      <c r="C3" s="2">
        <v>16</v>
      </c>
      <c r="D3" s="2">
        <v>29</v>
      </c>
    </row>
    <row r="4" spans="1:4" x14ac:dyDescent="0.25">
      <c r="A4" s="2">
        <v>3</v>
      </c>
      <c r="B4" s="2">
        <v>3</v>
      </c>
      <c r="C4" s="2">
        <v>13</v>
      </c>
      <c r="D4" s="2">
        <v>30</v>
      </c>
    </row>
    <row r="5" spans="1:4" x14ac:dyDescent="0.25">
      <c r="A5" s="2">
        <v>4</v>
      </c>
      <c r="B5" s="2">
        <v>4</v>
      </c>
      <c r="C5" s="2">
        <v>18</v>
      </c>
      <c r="D5" s="2">
        <v>25</v>
      </c>
    </row>
    <row r="6" spans="1:4" x14ac:dyDescent="0.25">
      <c r="A6" s="2">
        <v>5</v>
      </c>
      <c r="B6" s="2">
        <v>5</v>
      </c>
      <c r="C6" s="2">
        <v>15</v>
      </c>
      <c r="D6" s="2">
        <v>27</v>
      </c>
    </row>
    <row r="7" spans="1:4" x14ac:dyDescent="0.25">
      <c r="A7" s="2">
        <v>6</v>
      </c>
      <c r="B7" s="2">
        <v>6</v>
      </c>
      <c r="C7" s="2">
        <v>19</v>
      </c>
      <c r="D7" s="2">
        <v>22</v>
      </c>
    </row>
    <row r="8" spans="1:4" x14ac:dyDescent="0.25">
      <c r="A8" s="2">
        <v>7</v>
      </c>
      <c r="B8" s="2">
        <v>7</v>
      </c>
      <c r="C8" s="2">
        <v>11</v>
      </c>
      <c r="D8" s="2">
        <v>28</v>
      </c>
    </row>
    <row r="9" spans="1:4" x14ac:dyDescent="0.25">
      <c r="A9" s="2">
        <v>8</v>
      </c>
      <c r="B9" s="2">
        <v>8</v>
      </c>
      <c r="C9" s="2">
        <v>17</v>
      </c>
      <c r="D9" s="2">
        <v>21</v>
      </c>
    </row>
    <row r="10" spans="1:4" x14ac:dyDescent="0.25">
      <c r="A10" s="2">
        <v>9</v>
      </c>
      <c r="B10" s="2">
        <v>9</v>
      </c>
      <c r="C10" s="2">
        <v>14</v>
      </c>
      <c r="D10" s="2">
        <v>23</v>
      </c>
    </row>
    <row r="11" spans="1:4" x14ac:dyDescent="0.25">
      <c r="A11" s="2">
        <v>10</v>
      </c>
      <c r="B11" s="2">
        <v>10</v>
      </c>
      <c r="C11" s="2">
        <v>12</v>
      </c>
      <c r="D11" s="2">
        <v>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Draft</vt:lpstr>
      <vt:lpstr>DraftOrder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Fischer</dc:creator>
  <cp:lastModifiedBy>Thomas Fischer</cp:lastModifiedBy>
  <dcterms:created xsi:type="dcterms:W3CDTF">2017-09-05T12:21:37Z</dcterms:created>
  <dcterms:modified xsi:type="dcterms:W3CDTF">2024-09-11T15:44:34Z</dcterms:modified>
</cp:coreProperties>
</file>